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1" sheetId="1" r:id="rId4"/>
  </sheets>
  <definedNames/>
  <calcPr/>
  <extLst>
    <ext uri="GoogleSheetsCustomDataVersion2">
      <go:sheetsCustomData xmlns:go="http://customooxmlschemas.google.com/" r:id="rId5" roundtripDataChecksum="4Z/4ANBn2RXpE1DErgvdyOZ0L6eCTusPaqgorFFd+h8="/>
    </ext>
  </extLst>
</workbook>
</file>

<file path=xl/sharedStrings.xml><?xml version="1.0" encoding="utf-8"?>
<sst xmlns="http://schemas.openxmlformats.org/spreadsheetml/2006/main" count="4754" uniqueCount="1258">
  <si>
    <t>Ano</t>
  </si>
  <si>
    <t>Escola</t>
  </si>
  <si>
    <t>Nº</t>
  </si>
  <si>
    <t>Nome</t>
  </si>
  <si>
    <t>Ano escolar</t>
  </si>
  <si>
    <t>Data nascimento</t>
  </si>
  <si>
    <t>Idade</t>
  </si>
  <si>
    <t>Naturalidade</t>
  </si>
  <si>
    <t>Estado</t>
  </si>
  <si>
    <t>Nacionalidade</t>
  </si>
  <si>
    <t>Estado civil</t>
  </si>
  <si>
    <t>Sexo</t>
  </si>
  <si>
    <t>Tipo sanguineo</t>
  </si>
  <si>
    <t>CPF</t>
  </si>
  <si>
    <t>RG</t>
  </si>
  <si>
    <t>Órgão emissor</t>
  </si>
  <si>
    <t>Data emissão</t>
  </si>
  <si>
    <t>Responsável Legal</t>
  </si>
  <si>
    <t>CPF do responsável</t>
  </si>
  <si>
    <t>Endereço</t>
  </si>
  <si>
    <t>Complementação (end.)</t>
  </si>
  <si>
    <t>Bairro</t>
  </si>
  <si>
    <t>CEP</t>
  </si>
  <si>
    <t>Cidade</t>
  </si>
  <si>
    <t>Profissão</t>
  </si>
  <si>
    <t>Celular aluno</t>
  </si>
  <si>
    <t>Celular Responsável</t>
  </si>
  <si>
    <t>Período no projeto</t>
  </si>
  <si>
    <t>E-mail</t>
  </si>
  <si>
    <t>Agência</t>
  </si>
  <si>
    <t>Conta</t>
  </si>
  <si>
    <t xml:space="preserve">Colégio Estadual Evaristo da Veiga </t>
  </si>
  <si>
    <t>Ana Paula Santos Pinheiro</t>
  </si>
  <si>
    <t>8° ano</t>
  </si>
  <si>
    <t>20.11.2005</t>
  </si>
  <si>
    <t>Salvador</t>
  </si>
  <si>
    <t>Bahia</t>
  </si>
  <si>
    <t>Brasileira</t>
  </si>
  <si>
    <t>Solteira</t>
  </si>
  <si>
    <t>Feminino</t>
  </si>
  <si>
    <t>866.494.235-80</t>
  </si>
  <si>
    <t>21305094 36</t>
  </si>
  <si>
    <t>SSP/BA</t>
  </si>
  <si>
    <t>08.09.2013</t>
  </si>
  <si>
    <t>Maria Cremilda Silva dos Santos</t>
  </si>
  <si>
    <t>641.342.885-68</t>
  </si>
  <si>
    <t>1ª Trav. Capitão Aristeu</t>
  </si>
  <si>
    <t xml:space="preserve"> nº 24 - Alto de Ondina </t>
  </si>
  <si>
    <t>Rio Vermelho</t>
  </si>
  <si>
    <t>41.940-155</t>
  </si>
  <si>
    <t xml:space="preserve">Salvador </t>
  </si>
  <si>
    <t>Empregada doméstica</t>
  </si>
  <si>
    <t>71 983027636</t>
  </si>
  <si>
    <t>ana.paula.ufba13@gmail.com</t>
  </si>
  <si>
    <t>3457-6</t>
  </si>
  <si>
    <t>77931-8</t>
  </si>
  <si>
    <t>Ana Vitória de Jesus Silva</t>
  </si>
  <si>
    <t>27.03.2006</t>
  </si>
  <si>
    <t>O-</t>
  </si>
  <si>
    <t>063.834.385-22</t>
  </si>
  <si>
    <t>16260378 92</t>
  </si>
  <si>
    <t>02.04.2019</t>
  </si>
  <si>
    <t>Josane de Jesus Silva</t>
  </si>
  <si>
    <t>806.203.885-87</t>
  </si>
  <si>
    <t>Rua Jardim Botânico</t>
  </si>
  <si>
    <t>nº 147-B</t>
  </si>
  <si>
    <t>Ondina</t>
  </si>
  <si>
    <t>40.170-700</t>
  </si>
  <si>
    <t>Operadora de loja</t>
  </si>
  <si>
    <t>71 988291466</t>
  </si>
  <si>
    <t>anaviick032706@gmail.com</t>
  </si>
  <si>
    <t>2014-1</t>
  </si>
  <si>
    <t>51625-2</t>
  </si>
  <si>
    <t>Gabriela Santos Galiza</t>
  </si>
  <si>
    <t>6° ano</t>
  </si>
  <si>
    <t>02.12.2005</t>
  </si>
  <si>
    <t>O+</t>
  </si>
  <si>
    <t>092.576.955-06</t>
  </si>
  <si>
    <t>20230100 12</t>
  </si>
  <si>
    <t>13.12.2010</t>
  </si>
  <si>
    <t>Adriana de Jesus Santos Galiza</t>
  </si>
  <si>
    <t>043.363.085-00</t>
  </si>
  <si>
    <t>Rua Deputado Eujacio Simões</t>
  </si>
  <si>
    <t>Casa nº 195</t>
  </si>
  <si>
    <t>Santa Cruz</t>
  </si>
  <si>
    <t>41.927-870</t>
  </si>
  <si>
    <t xml:space="preserve">Assistente de classe </t>
  </si>
  <si>
    <t>71 991765212</t>
  </si>
  <si>
    <t>gabrielagaliza23@gmail.com</t>
  </si>
  <si>
    <t>76704-2</t>
  </si>
  <si>
    <t>Gabrielle Santos Pinheiro</t>
  </si>
  <si>
    <t>866.486.275-30</t>
  </si>
  <si>
    <t>21305037-48</t>
  </si>
  <si>
    <t>08.11.2013</t>
  </si>
  <si>
    <t xml:space="preserve">1ª Trav. Capitão Aristeu, </t>
  </si>
  <si>
    <t>nº 24 - Alto de Ondina</t>
  </si>
  <si>
    <t>71 981519801</t>
  </si>
  <si>
    <t>gabinhasantos496@gmail.com</t>
  </si>
  <si>
    <t>76654-2</t>
  </si>
  <si>
    <t>Jaqueline Santos Barbosa</t>
  </si>
  <si>
    <t>7º ano</t>
  </si>
  <si>
    <t>01.12.2006</t>
  </si>
  <si>
    <t>Camaçari</t>
  </si>
  <si>
    <t>081.725.815-99</t>
  </si>
  <si>
    <t>21233999-06</t>
  </si>
  <si>
    <t>17.08.2013</t>
  </si>
  <si>
    <t>Silvana Silva de Araújo</t>
  </si>
  <si>
    <t>630.086.455-34</t>
  </si>
  <si>
    <t>Rua Alto da Sereia</t>
  </si>
  <si>
    <t>nº27L - 1º andar</t>
  </si>
  <si>
    <t>41.950-060</t>
  </si>
  <si>
    <t>Servente</t>
  </si>
  <si>
    <t>71 988916553</t>
  </si>
  <si>
    <t>armysbarbosa@gmail.com</t>
  </si>
  <si>
    <t>76.642-9</t>
  </si>
  <si>
    <t>Luana da Silva Conceição</t>
  </si>
  <si>
    <t>25.05.2005</t>
  </si>
  <si>
    <t>B-</t>
  </si>
  <si>
    <t>868.318.655-50</t>
  </si>
  <si>
    <t>22003036 99</t>
  </si>
  <si>
    <t>21.12.2015</t>
  </si>
  <si>
    <t>Elias do Vale Conceição</t>
  </si>
  <si>
    <t>261.370.385-72</t>
  </si>
  <si>
    <t>Rua Teófilo Falcão</t>
  </si>
  <si>
    <t>nº 60</t>
  </si>
  <si>
    <t>41.950-180</t>
  </si>
  <si>
    <t>Eletricista</t>
  </si>
  <si>
    <t>71 981623698</t>
  </si>
  <si>
    <t>luanadasilva1230@gmail.com</t>
  </si>
  <si>
    <t>76737-9</t>
  </si>
  <si>
    <t>Colégio Estadual Henriqueta Marthins Catharino</t>
  </si>
  <si>
    <t>Amanda Jesus Borges dos Santos</t>
  </si>
  <si>
    <t>7° ano</t>
  </si>
  <si>
    <t>18.05.2007</t>
  </si>
  <si>
    <t>A+</t>
  </si>
  <si>
    <t>865.759.715-20</t>
  </si>
  <si>
    <t>11.07.2014</t>
  </si>
  <si>
    <t>Rosa Lúcia Santos de Jesus</t>
  </si>
  <si>
    <t>678.309.945-87</t>
  </si>
  <si>
    <t>Rua Trav. São José</t>
  </si>
  <si>
    <t>nº 110 - Casa</t>
  </si>
  <si>
    <t>Eng. Velho da Federação</t>
  </si>
  <si>
    <t>40.221-220</t>
  </si>
  <si>
    <t>Ajudante de cozinha</t>
  </si>
  <si>
    <t>71 992911387</t>
  </si>
  <si>
    <t>71 982761074</t>
  </si>
  <si>
    <t>amandaborgess100@gmail.com</t>
  </si>
  <si>
    <t>3449-5</t>
  </si>
  <si>
    <t>43329-2</t>
  </si>
  <si>
    <t>Anthony Santos de Jesus (Ana Beatriz Santos de Jesus)</t>
  </si>
  <si>
    <t>01.12.2005</t>
  </si>
  <si>
    <t>868.243.185-82</t>
  </si>
  <si>
    <t>15596961 76</t>
  </si>
  <si>
    <t>10.06.2019</t>
  </si>
  <si>
    <t>Valdete Santos de Jesus</t>
  </si>
  <si>
    <t>810.457.785-91</t>
  </si>
  <si>
    <t>Rua Ibtupan</t>
  </si>
  <si>
    <t>nº 326-E - Casa</t>
  </si>
  <si>
    <t>40.223-690</t>
  </si>
  <si>
    <t>Serviços gerais</t>
  </si>
  <si>
    <t>71 32630655</t>
  </si>
  <si>
    <t>71 991271514</t>
  </si>
  <si>
    <t>biaxianz@gmail.com</t>
  </si>
  <si>
    <t>2968-8</t>
  </si>
  <si>
    <t>39276-6</t>
  </si>
  <si>
    <t>Anciele Gonçalves dos Santos</t>
  </si>
  <si>
    <t>13.05.2006</t>
  </si>
  <si>
    <t>119.953.215-08</t>
  </si>
  <si>
    <t>19.01.2016</t>
  </si>
  <si>
    <t>Maria de Lourdes de Jesus Gonçalves</t>
  </si>
  <si>
    <t>601.003.895-20</t>
  </si>
  <si>
    <t>Rua Jorge Lemos</t>
  </si>
  <si>
    <t>nº 111</t>
  </si>
  <si>
    <t>40.220-560</t>
  </si>
  <si>
    <t>Ambulante</t>
  </si>
  <si>
    <t>71 982902783</t>
  </si>
  <si>
    <t>maria071625@gmail.com</t>
  </si>
  <si>
    <t>45475-3</t>
  </si>
  <si>
    <t>Brenda Larissa de Souza Marques</t>
  </si>
  <si>
    <t>9° ano</t>
  </si>
  <si>
    <t>086.546.215-16</t>
  </si>
  <si>
    <t xml:space="preserve"> Andre Santana Marques e Cristina Pereira de Souza </t>
  </si>
  <si>
    <t>71 98227-1298</t>
  </si>
  <si>
    <t xml:space="preserve"> 01.08.2019 a 31.05.2020 </t>
  </si>
  <si>
    <t>Cailane Lima de Jesus</t>
  </si>
  <si>
    <t>Graziele Alves Bispo dos Santos</t>
  </si>
  <si>
    <t>114.248.875-69</t>
  </si>
  <si>
    <t xml:space="preserve"> Graziele Alves Bispo dos Santos Filiação e Daniela Alves dos Santos </t>
  </si>
  <si>
    <t>71 98706-3177 (mãe)</t>
  </si>
  <si>
    <t>Júlia dos Santos Barros</t>
  </si>
  <si>
    <t>15.05.2008</t>
  </si>
  <si>
    <t>103.712.825-78</t>
  </si>
  <si>
    <t>23331628-05</t>
  </si>
  <si>
    <t>29.07.2019</t>
  </si>
  <si>
    <t>Sônia Beatriz dos Santos Barros</t>
  </si>
  <si>
    <t>759.047.725-72</t>
  </si>
  <si>
    <t>Trav. Vila Valle</t>
  </si>
  <si>
    <t>nº 30</t>
  </si>
  <si>
    <t>40.221-100</t>
  </si>
  <si>
    <t>Téc. Enfermagem</t>
  </si>
  <si>
    <t>71 987332855</t>
  </si>
  <si>
    <t>juliasbarros798@gmail.co,</t>
  </si>
  <si>
    <t>43317-9</t>
  </si>
  <si>
    <t>Pâmella Brendha Santos da Silva</t>
  </si>
  <si>
    <t>5° ano</t>
  </si>
  <si>
    <t>Vera Cruz</t>
  </si>
  <si>
    <t>B+</t>
  </si>
  <si>
    <t>112.171.515-08</t>
  </si>
  <si>
    <t>21237007 38</t>
  </si>
  <si>
    <t>21.08.2013</t>
  </si>
  <si>
    <t>Rizia Reis dos Santos</t>
  </si>
  <si>
    <t>040.518.775-07</t>
  </si>
  <si>
    <t>Rua Apolinário de Santana</t>
  </si>
  <si>
    <t>nº 07</t>
  </si>
  <si>
    <t>40.220-060</t>
  </si>
  <si>
    <t>Camareira</t>
  </si>
  <si>
    <t>71 997093674</t>
  </si>
  <si>
    <t>rizia213@gmail.com</t>
  </si>
  <si>
    <t>4278-1</t>
  </si>
  <si>
    <t>11585-1</t>
  </si>
  <si>
    <t>Sophia dos Santos Barros</t>
  </si>
  <si>
    <t>103.713.075-89</t>
  </si>
  <si>
    <t>23331661 26</t>
  </si>
  <si>
    <t>71 999792931</t>
  </si>
  <si>
    <t>433320-9</t>
  </si>
  <si>
    <t>Colégio Estadual Mário Costa Neto</t>
  </si>
  <si>
    <t>Aline Ferreira Bomfim</t>
  </si>
  <si>
    <t>71 98525-1783</t>
  </si>
  <si>
    <t>Maria Isabel Bonfim dos Santos</t>
  </si>
  <si>
    <t>12.01.2007</t>
  </si>
  <si>
    <t>049.986.705-06</t>
  </si>
  <si>
    <t>19.03.2014</t>
  </si>
  <si>
    <t>Nelma de Oliveira Santana</t>
  </si>
  <si>
    <t>804.345.925-87</t>
  </si>
  <si>
    <t>Rua Sérgio de Carvalho</t>
  </si>
  <si>
    <t>Av. Macêdo, nº 04</t>
  </si>
  <si>
    <t>40.220-690</t>
  </si>
  <si>
    <t>Babá</t>
  </si>
  <si>
    <t>mariaisabelbonfim987@gmail.com</t>
  </si>
  <si>
    <t>43174-5</t>
  </si>
  <si>
    <t>Polyana Cerqueira Machado</t>
  </si>
  <si>
    <t>061.390.555-55</t>
  </si>
  <si>
    <t>Paulo Jeronimo Machado da Silva e Gisele Cerqueira Oliveira</t>
  </si>
  <si>
    <t>Raiane Santos Silva</t>
  </si>
  <si>
    <t>06.04.2006</t>
  </si>
  <si>
    <t>120.317.775-56</t>
  </si>
  <si>
    <t>23151366 60</t>
  </si>
  <si>
    <t>08.02.2019</t>
  </si>
  <si>
    <t>Maria Cecília Costa Santos</t>
  </si>
  <si>
    <t>008.614.955-51</t>
  </si>
  <si>
    <t xml:space="preserve">Av. Edith </t>
  </si>
  <si>
    <t>Casa</t>
  </si>
  <si>
    <t>Federação</t>
  </si>
  <si>
    <t>40.230-104</t>
  </si>
  <si>
    <t>Teleoperadora</t>
  </si>
  <si>
    <t>71 985296461</t>
  </si>
  <si>
    <t>santossilvar830@gmail.com</t>
  </si>
  <si>
    <t>45.457-5</t>
  </si>
  <si>
    <t>Victoria Nascimento dos Santos</t>
  </si>
  <si>
    <t>31.07.2007</t>
  </si>
  <si>
    <t>103.127.165-16</t>
  </si>
  <si>
    <t>23125814 34</t>
  </si>
  <si>
    <t>24.01.2019</t>
  </si>
  <si>
    <t>Valdineia Ferreira Nascimento</t>
  </si>
  <si>
    <t>Rua Silvestre de Farias</t>
  </si>
  <si>
    <t>40.230-621</t>
  </si>
  <si>
    <t>Operadora de caixa</t>
  </si>
  <si>
    <t>71 33341349</t>
  </si>
  <si>
    <t>71 988675820</t>
  </si>
  <si>
    <t>victorianasdossantos11@gmail.com</t>
  </si>
  <si>
    <t>45370-6</t>
  </si>
  <si>
    <t>Colégio Estadual Ypiranga</t>
  </si>
  <si>
    <t>Daniela Amorim Aparecido</t>
  </si>
  <si>
    <t>71 99280-4033 (avó)</t>
  </si>
  <si>
    <t>Gabrielle Tereza dos Santos</t>
  </si>
  <si>
    <t>25.09.2006</t>
  </si>
  <si>
    <t>114.119.785-52</t>
  </si>
  <si>
    <t>12.08.2019</t>
  </si>
  <si>
    <t>Jaciara Cecília dos Santos</t>
  </si>
  <si>
    <t>293.607.495-91</t>
  </si>
  <si>
    <t>Largo 2 de Julho</t>
  </si>
  <si>
    <t>Ed, Carolina, nº 47</t>
  </si>
  <si>
    <t>Centro</t>
  </si>
  <si>
    <t>40.060-180</t>
  </si>
  <si>
    <t>Dono de Casa</t>
  </si>
  <si>
    <t>71 987629821</t>
  </si>
  <si>
    <t>71 993368302/ 986888450</t>
  </si>
  <si>
    <t>gabrielletereza@gmail.com</t>
  </si>
  <si>
    <t>12004-9</t>
  </si>
  <si>
    <t>Isabele Xavier da Silva Borges</t>
  </si>
  <si>
    <t>03.06.2006</t>
  </si>
  <si>
    <t>114.102.615-57</t>
  </si>
  <si>
    <t>12.03.2015</t>
  </si>
  <si>
    <t>Florisvaldo Mendes Bastos</t>
  </si>
  <si>
    <t>677.670.525-91</t>
  </si>
  <si>
    <t>Trav. São Domingos</t>
  </si>
  <si>
    <t>nº 78</t>
  </si>
  <si>
    <t>40.231-140</t>
  </si>
  <si>
    <t>Operador de Caixa</t>
  </si>
  <si>
    <t>71 41037469</t>
  </si>
  <si>
    <t>71 991264357</t>
  </si>
  <si>
    <t>isabelemcd@hotmail.com</t>
  </si>
  <si>
    <t>0346-8</t>
  </si>
  <si>
    <t>74.273-2</t>
  </si>
  <si>
    <t>Kimberlyn Diandra Bazzana Del Cid</t>
  </si>
  <si>
    <t>71 98861-1142</t>
  </si>
  <si>
    <t>Maria Thaina Mota da silva</t>
  </si>
  <si>
    <t>08.01.2007</t>
  </si>
  <si>
    <t>865.219.655-90</t>
  </si>
  <si>
    <t>22316732 07</t>
  </si>
  <si>
    <t>31.10.2016</t>
  </si>
  <si>
    <t>Marilia  Mota de Jesus</t>
  </si>
  <si>
    <t>262.890.148-03</t>
  </si>
  <si>
    <t>Rua Via da Ligação</t>
  </si>
  <si>
    <t>nº 01 - Casa 24 Qd. 8 Cam.</t>
  </si>
  <si>
    <t>Vida Nova</t>
  </si>
  <si>
    <t>41.717-840</t>
  </si>
  <si>
    <t>Auxiliar de cozinha</t>
  </si>
  <si>
    <t>71 981344635</t>
  </si>
  <si>
    <t>mariathainamaria@gmail.com</t>
  </si>
  <si>
    <t>1599-7</t>
  </si>
  <si>
    <t>74273-2</t>
  </si>
  <si>
    <t>Marisa Jheymille da Silva Cabral</t>
  </si>
  <si>
    <t>13.01.2006</t>
  </si>
  <si>
    <t>Ibicui</t>
  </si>
  <si>
    <t>084.266.545-50</t>
  </si>
  <si>
    <t>22489990 20</t>
  </si>
  <si>
    <t>11.05.2017</t>
  </si>
  <si>
    <t>Jaciara Costa da Silva</t>
  </si>
  <si>
    <t>037.359.785-17</t>
  </si>
  <si>
    <t>Rua Acelino Prudente de Morais</t>
  </si>
  <si>
    <t>nº 537</t>
  </si>
  <si>
    <t>Duque de Caxias</t>
  </si>
  <si>
    <t>41.181-900</t>
  </si>
  <si>
    <t>Ibicaraí</t>
  </si>
  <si>
    <t>Operadora de máquina</t>
  </si>
  <si>
    <t>73 981984659</t>
  </si>
  <si>
    <t>marisajheymilledasilvacabralj@gmail.com</t>
  </si>
  <si>
    <t>1068-5</t>
  </si>
  <si>
    <t>17245-6</t>
  </si>
  <si>
    <t>Colégio Municipal Cidade Jequié</t>
  </si>
  <si>
    <t>Carollyne Santos Dourado</t>
  </si>
  <si>
    <t>08.03.2007</t>
  </si>
  <si>
    <t>Baitaporã</t>
  </si>
  <si>
    <t>Mato Grosso do Sul</t>
  </si>
  <si>
    <t>417.676.698-01</t>
  </si>
  <si>
    <t>56405305-3</t>
  </si>
  <si>
    <t>SSP/SP</t>
  </si>
  <si>
    <t>24.05.2012</t>
  </si>
  <si>
    <t>Ana Lúcia Santos Souza Dourado</t>
  </si>
  <si>
    <t>716.950.875-34</t>
  </si>
  <si>
    <t>2ª Travessa São José</t>
  </si>
  <si>
    <t>51-E</t>
  </si>
  <si>
    <t>Eng. Velho  da Federação</t>
  </si>
  <si>
    <t>40.220-455</t>
  </si>
  <si>
    <t>71 99256-6502</t>
  </si>
  <si>
    <t>71-993079549</t>
  </si>
  <si>
    <t>carollsantos213@gmail.com</t>
  </si>
  <si>
    <t>43144-3</t>
  </si>
  <si>
    <t>Karin Beatriz Silva de Souza</t>
  </si>
  <si>
    <t>09.04.2005</t>
  </si>
  <si>
    <t>Araioses</t>
  </si>
  <si>
    <t>Maranhão</t>
  </si>
  <si>
    <t>868.300.625-51</t>
  </si>
  <si>
    <t>SSP/PI</t>
  </si>
  <si>
    <t>03.09.2013</t>
  </si>
  <si>
    <t>Maria de Jesus Oliveira Silva</t>
  </si>
  <si>
    <t>014.725.393-96</t>
  </si>
  <si>
    <t>1ª Travessa, nº 1502</t>
  </si>
  <si>
    <t>Eng. Velho Federação</t>
  </si>
  <si>
    <t>40.220-110</t>
  </si>
  <si>
    <t>Autonoma</t>
  </si>
  <si>
    <t>71-988494854</t>
  </si>
  <si>
    <t>karinbeatriz@outlook.com</t>
  </si>
  <si>
    <t>50927-2</t>
  </si>
  <si>
    <t>Maria Eduarda Menezes do Nascimento</t>
  </si>
  <si>
    <t>24.03.2006</t>
  </si>
  <si>
    <t>088.085.845-18</t>
  </si>
  <si>
    <t>22142471-73</t>
  </si>
  <si>
    <t>13.05.2016</t>
  </si>
  <si>
    <t>Maria Bethânia Menezes</t>
  </si>
  <si>
    <t>632.582.185-87</t>
  </si>
  <si>
    <t>Travessa Apolinário de Santana</t>
  </si>
  <si>
    <t>2ª nº 56</t>
  </si>
  <si>
    <t xml:space="preserve"> Engenho Velho da Federação</t>
  </si>
  <si>
    <t>40.220-365</t>
  </si>
  <si>
    <t>71 98795-5405</t>
  </si>
  <si>
    <t>mmeduarda985@gmail.com</t>
  </si>
  <si>
    <t>50915-9</t>
  </si>
  <si>
    <t>Laila Kimberli de oliveira santana</t>
  </si>
  <si>
    <t>8°ano</t>
  </si>
  <si>
    <t>12.05.2006</t>
  </si>
  <si>
    <t>053.487.485-10</t>
  </si>
  <si>
    <t>15627619-43</t>
  </si>
  <si>
    <t xml:space="preserve"> E</t>
  </si>
  <si>
    <t>10.11.2015</t>
  </si>
  <si>
    <t>475.036.535-15</t>
  </si>
  <si>
    <t xml:space="preserve">Lad. Coronel João de Deus, nº 12 </t>
  </si>
  <si>
    <t>Casa 03</t>
  </si>
  <si>
    <t>40.221-150</t>
  </si>
  <si>
    <t>Auxiliar de Desenv. Infantil</t>
  </si>
  <si>
    <t>71 991174939</t>
  </si>
  <si>
    <t>guigahand@gmail.com</t>
  </si>
  <si>
    <t>3463-0</t>
  </si>
  <si>
    <t>80674-9</t>
  </si>
  <si>
    <t>9º ano</t>
  </si>
  <si>
    <t>8º ano</t>
  </si>
  <si>
    <t>Ana Beatriz Santos de Jesus</t>
  </si>
  <si>
    <t>Bianca dos Santos Carvalho</t>
  </si>
  <si>
    <t>26.02.2001</t>
  </si>
  <si>
    <t>861.767.175-07</t>
  </si>
  <si>
    <t>21167626 85</t>
  </si>
  <si>
    <t>06.06.2013</t>
  </si>
  <si>
    <t>Rua Teixeira Mendes</t>
  </si>
  <si>
    <t>nº 166 Alto das Pombas</t>
  </si>
  <si>
    <t>40.226-125</t>
  </si>
  <si>
    <t>71 986470719</t>
  </si>
  <si>
    <t>biancacar2019@gmail.com</t>
  </si>
  <si>
    <t>76480-9</t>
  </si>
  <si>
    <t>Luis Gustavo Simões da Costa Bahia</t>
  </si>
  <si>
    <t>29.04.2006</t>
  </si>
  <si>
    <t>Brasileiro</t>
  </si>
  <si>
    <t>Solteiro</t>
  </si>
  <si>
    <t>Masculino</t>
  </si>
  <si>
    <t>086.359.565-08</t>
  </si>
  <si>
    <t>21987547-20</t>
  </si>
  <si>
    <t>03.12.2015</t>
  </si>
  <si>
    <t>Adriano Bahia</t>
  </si>
  <si>
    <t>903.819.984-87</t>
  </si>
  <si>
    <t>Rua dos Profetas</t>
  </si>
  <si>
    <t>nº 34-E</t>
  </si>
  <si>
    <t>D. Avelar</t>
  </si>
  <si>
    <t>41.315-300</t>
  </si>
  <si>
    <t>Contador</t>
  </si>
  <si>
    <t>71 92220701</t>
  </si>
  <si>
    <t>71  999768383</t>
  </si>
  <si>
    <t>adrBahia1977@gmail.com</t>
  </si>
  <si>
    <t>1803-1</t>
  </si>
  <si>
    <t>73236-2</t>
  </si>
  <si>
    <t>Henryque de Jesus dos Santos</t>
  </si>
  <si>
    <t>Simões Filho</t>
  </si>
  <si>
    <t>101.249.135-80</t>
  </si>
  <si>
    <t>22717343-04</t>
  </si>
  <si>
    <t>12.01.2018</t>
  </si>
  <si>
    <t>Jurandi Pereira dos Santos/ Leda de Jesus</t>
  </si>
  <si>
    <t>020.400.275-30</t>
  </si>
  <si>
    <t>Rua Alto Sergio de Carvalho</t>
  </si>
  <si>
    <t>nº 3 - Av. Vera</t>
  </si>
  <si>
    <t>40.230-690</t>
  </si>
  <si>
    <t>Açougueiro</t>
  </si>
  <si>
    <t>71-986091146</t>
  </si>
  <si>
    <t>71- 985305120</t>
  </si>
  <si>
    <t>henryquede jesus039@gmail.com</t>
  </si>
  <si>
    <t>46628-4</t>
  </si>
  <si>
    <t>45628-4</t>
  </si>
  <si>
    <t>71 985043443</t>
  </si>
  <si>
    <t>Ian Santos do Carmo</t>
  </si>
  <si>
    <t>16.02.2007</t>
  </si>
  <si>
    <t>AB+</t>
  </si>
  <si>
    <t>110.119.895-81</t>
  </si>
  <si>
    <t>20639537-08</t>
  </si>
  <si>
    <t>21.08.2020</t>
  </si>
  <si>
    <t>Cristiane dos Santos</t>
  </si>
  <si>
    <t>011.125.185-09</t>
  </si>
  <si>
    <t>Trav. Ataide Seixas</t>
  </si>
  <si>
    <t>nº 46 - 2º andar</t>
  </si>
  <si>
    <t>Garcia</t>
  </si>
  <si>
    <t>40.100-490</t>
  </si>
  <si>
    <t>Recepcionista</t>
  </si>
  <si>
    <t>71-999389364/ 985226899</t>
  </si>
  <si>
    <t>Rafael Aquino da Silva</t>
  </si>
  <si>
    <t>07.03.2009</t>
  </si>
  <si>
    <t>Savador</t>
  </si>
  <si>
    <t>099.274.575-61</t>
  </si>
  <si>
    <t>16623986-03</t>
  </si>
  <si>
    <t>10.02.2012</t>
  </si>
  <si>
    <t>Weston Rodrigo Almeida da Silva</t>
  </si>
  <si>
    <t>Rua do Sodré</t>
  </si>
  <si>
    <t>nº372 - Ed. Frei Luiz Maria Apt. 301</t>
  </si>
  <si>
    <t>Largo 2 de Julho - Centro</t>
  </si>
  <si>
    <t>40.060-240</t>
  </si>
  <si>
    <t>Motorista Profissional</t>
  </si>
  <si>
    <t>(71)991998402</t>
  </si>
  <si>
    <t>rafaelaquinodasilva10@gmail.com.br</t>
  </si>
  <si>
    <t>1800-7</t>
  </si>
  <si>
    <t>42571-0</t>
  </si>
  <si>
    <t>8º</t>
  </si>
  <si>
    <t>Caio Silva Santos</t>
  </si>
  <si>
    <t>30.04.2007</t>
  </si>
  <si>
    <t>863.786.055-99</t>
  </si>
  <si>
    <t>21.272.524-62</t>
  </si>
  <si>
    <t>30.09.2013</t>
  </si>
  <si>
    <t>Geisa Santos Silva</t>
  </si>
  <si>
    <t>014.085.525-40</t>
  </si>
  <si>
    <t>nº 183 Casa º 14 -Av. Anísio Ferreira</t>
  </si>
  <si>
    <t>Alto das Pombas</t>
  </si>
  <si>
    <t>40.226-630</t>
  </si>
  <si>
    <t>Diarista</t>
  </si>
  <si>
    <t>71-993192566/ 982471794</t>
  </si>
  <si>
    <t>caiogeisa1020@gmail.com</t>
  </si>
  <si>
    <t>11901-6</t>
  </si>
  <si>
    <t>Cauã Moutinho Menezes</t>
  </si>
  <si>
    <t>085.315.705-73</t>
  </si>
  <si>
    <t>15979286-07</t>
  </si>
  <si>
    <t>José Carlos Menezes</t>
  </si>
  <si>
    <t>055.425.375-53</t>
  </si>
  <si>
    <t>Lad. Xaponia</t>
  </si>
  <si>
    <t xml:space="preserve">nº 13  </t>
  </si>
  <si>
    <t>40.210-715</t>
  </si>
  <si>
    <t>Aposentado</t>
  </si>
  <si>
    <t>71 993822800</t>
  </si>
  <si>
    <t>71 91357383</t>
  </si>
  <si>
    <t>menezescaua7@gmail.com</t>
  </si>
  <si>
    <t>52216-3</t>
  </si>
  <si>
    <t>Julia Sâmara Mendes Ribeiro</t>
  </si>
  <si>
    <t>1º Ano EM</t>
  </si>
  <si>
    <t>116.521.865-81</t>
  </si>
  <si>
    <t>Sâmara Mendes</t>
  </si>
  <si>
    <t>026.196.465-88</t>
  </si>
  <si>
    <t>2ª Trav. do Corte Grande</t>
  </si>
  <si>
    <t xml:space="preserve">n° 22 </t>
  </si>
  <si>
    <t>Alto de Ondina</t>
  </si>
  <si>
    <t>41.940-180</t>
  </si>
  <si>
    <t>Prendas do lar</t>
  </si>
  <si>
    <t>71-98825-9716</t>
  </si>
  <si>
    <t>71 984500995</t>
  </si>
  <si>
    <t>juliaamendes1@gmail.com</t>
  </si>
  <si>
    <t>4279-X</t>
  </si>
  <si>
    <t>36407-X</t>
  </si>
  <si>
    <t>Andrey Enzo de Jesus Silva Pinto</t>
  </si>
  <si>
    <t>04.05.2009</t>
  </si>
  <si>
    <t>100.122.055-25</t>
  </si>
  <si>
    <t>20758271-84</t>
  </si>
  <si>
    <t>Adriana de jesus Silva</t>
  </si>
  <si>
    <t>826.879.945-53</t>
  </si>
  <si>
    <t>Rua Santan Marta</t>
  </si>
  <si>
    <t>n° 111-E</t>
  </si>
  <si>
    <t>40.221-235</t>
  </si>
  <si>
    <t>Prenda do lar</t>
  </si>
  <si>
    <t>71 986821501</t>
  </si>
  <si>
    <t>(71)986184390</t>
  </si>
  <si>
    <t>andrey.pinto2@aluno.enova.educacao.ba.gov.br</t>
  </si>
  <si>
    <t>47193-3</t>
  </si>
  <si>
    <t>Ellen Bianca Nobre Santiago</t>
  </si>
  <si>
    <t>1º ano EM</t>
  </si>
  <si>
    <t>20.03.2004</t>
  </si>
  <si>
    <t>072.089.145-08</t>
  </si>
  <si>
    <t>15856915-69</t>
  </si>
  <si>
    <t>Renata Rodrigues da Anunciação</t>
  </si>
  <si>
    <t>017.485.085-98</t>
  </si>
  <si>
    <t>Rua do Corte Grande</t>
  </si>
  <si>
    <t>n° 555 - Apt. 01</t>
  </si>
  <si>
    <t>41.950-260</t>
  </si>
  <si>
    <t>71 987501970</t>
  </si>
  <si>
    <t>71  993173962</t>
  </si>
  <si>
    <t>biancaellen73@gmail.com</t>
  </si>
  <si>
    <t>78690-X</t>
  </si>
  <si>
    <t>Yasmin Beatriz  Santos de Souza</t>
  </si>
  <si>
    <t>119.484.515-06</t>
  </si>
  <si>
    <t>2291271-42</t>
  </si>
  <si>
    <t>Luana Silva dos Santos</t>
  </si>
  <si>
    <t>033.581.905-28</t>
  </si>
  <si>
    <t>Ladeira 13 de Julho</t>
  </si>
  <si>
    <t>N° 25 - Casa</t>
  </si>
  <si>
    <t>40.230-700</t>
  </si>
  <si>
    <t>Prenda do Lar</t>
  </si>
  <si>
    <t>71 -989538914</t>
  </si>
  <si>
    <t>luanasilval 1 oficial@gmail.com</t>
  </si>
  <si>
    <t>47069-4</t>
  </si>
  <si>
    <t>1° ano EM</t>
  </si>
  <si>
    <t>Aldri de Matos Barroso</t>
  </si>
  <si>
    <t>17.07.2007</t>
  </si>
  <si>
    <t xml:space="preserve">Solteiro </t>
  </si>
  <si>
    <t>864.880.795-65</t>
  </si>
  <si>
    <t>22200205-09</t>
  </si>
  <si>
    <t>29.06.2016</t>
  </si>
  <si>
    <t>ALDERBAN NONATO BARROSO</t>
  </si>
  <si>
    <t>867.574.665-20</t>
  </si>
  <si>
    <t>AV. Itú  – Rua Apolinário Santana</t>
  </si>
  <si>
    <t>40.220-550</t>
  </si>
  <si>
    <t>Operador de máquina industrial</t>
  </si>
  <si>
    <t>71 988940714</t>
  </si>
  <si>
    <t>snicksmatos@gmail.com</t>
  </si>
  <si>
    <t>3158-5</t>
  </si>
  <si>
    <t>216775-1</t>
  </si>
  <si>
    <t>Ana Carolina Barros Reis</t>
  </si>
  <si>
    <t>17.01.2008</t>
  </si>
  <si>
    <t>099.780.275-80</t>
  </si>
  <si>
    <t>21307146 09</t>
  </si>
  <si>
    <t>Dione Nonato Barroso</t>
  </si>
  <si>
    <t>482.233.105-97</t>
  </si>
  <si>
    <t>71 92821969</t>
  </si>
  <si>
    <t>71 991000593</t>
  </si>
  <si>
    <t>ana234qecarol@gmail.com</t>
  </si>
  <si>
    <t>Emily Santos de Jesus</t>
  </si>
  <si>
    <t>22.07.2006</t>
  </si>
  <si>
    <t>115.563.335-01</t>
  </si>
  <si>
    <t>16.03.2015</t>
  </si>
  <si>
    <t>Alane Sarmento  dos Santos</t>
  </si>
  <si>
    <t>041.228.965-25</t>
  </si>
  <si>
    <t>Rua Apolinário Santana</t>
  </si>
  <si>
    <t>Tv. nº 44</t>
  </si>
  <si>
    <t>Téc. enfermagem</t>
  </si>
  <si>
    <t>71 992509619</t>
  </si>
  <si>
    <t>alanesarmento06@gmail.com</t>
  </si>
  <si>
    <t>52277-5</t>
  </si>
  <si>
    <t>Geisislane Ventura dos Santos</t>
  </si>
  <si>
    <t>124.725.475-52</t>
  </si>
  <si>
    <t>23105773-32</t>
  </si>
  <si>
    <t>Lucilene S. Ventura</t>
  </si>
  <si>
    <t>914.240.545-91</t>
  </si>
  <si>
    <t>Av. José Arlindo</t>
  </si>
  <si>
    <t>Nº 75</t>
  </si>
  <si>
    <t>40.220-570</t>
  </si>
  <si>
    <t>Dono de casa</t>
  </si>
  <si>
    <t>71 993162925</t>
  </si>
  <si>
    <t>71 986296139</t>
  </si>
  <si>
    <t>lucinonatosilva@hotmail.com</t>
  </si>
  <si>
    <t>47090-2</t>
  </si>
  <si>
    <t>Lisna Anne Brito dos Santos</t>
  </si>
  <si>
    <t>13.01.2008</t>
  </si>
  <si>
    <t>066.697.485-31</t>
  </si>
  <si>
    <t>22116597-75</t>
  </si>
  <si>
    <t>05.04.2016</t>
  </si>
  <si>
    <t>Livia Jeane Brito dos Santos</t>
  </si>
  <si>
    <t>800.605.365-00</t>
  </si>
  <si>
    <t>Rua Santo Amaro</t>
  </si>
  <si>
    <t>nº 108-E</t>
  </si>
  <si>
    <t>40.220-290</t>
  </si>
  <si>
    <t>Garçonete</t>
  </si>
  <si>
    <t>71 987123003</t>
  </si>
  <si>
    <t>71 987557162</t>
  </si>
  <si>
    <t>lisnaanne08@gmail.com</t>
  </si>
  <si>
    <t>47094-5</t>
  </si>
  <si>
    <t>Maria Clara Silva dos Santos</t>
  </si>
  <si>
    <t>1º Série EM</t>
  </si>
  <si>
    <t>119.758.405-69</t>
  </si>
  <si>
    <t>23303888-45</t>
  </si>
  <si>
    <t>Jéssica Lúcia da S. Santos</t>
  </si>
  <si>
    <t>038.417.985-19</t>
  </si>
  <si>
    <t>nº 112, Av. Neto Fundos</t>
  </si>
  <si>
    <t>40.220-101</t>
  </si>
  <si>
    <t>Manicure</t>
  </si>
  <si>
    <t>71 992793334</t>
  </si>
  <si>
    <t>71 991693686</t>
  </si>
  <si>
    <t>mariaclaramoscosa4@gmail.com</t>
  </si>
  <si>
    <t>52290-2</t>
  </si>
  <si>
    <t>Ranald Hermes Brazil Ferreira Macedo de Queiros</t>
  </si>
  <si>
    <t>06.02.2007</t>
  </si>
  <si>
    <t>116.630.325-05</t>
  </si>
  <si>
    <t>23466787-75</t>
  </si>
  <si>
    <t>NEIDE Brazil Ferreira</t>
  </si>
  <si>
    <t>568.710.155-15</t>
  </si>
  <si>
    <t>Tavessa Capitão Aristeu</t>
  </si>
  <si>
    <t>n° 80</t>
  </si>
  <si>
    <t>41.950-200</t>
  </si>
  <si>
    <t>Professora</t>
  </si>
  <si>
    <t>71 991776391</t>
  </si>
  <si>
    <t>nbrazill@gmail.com</t>
  </si>
  <si>
    <t>52.208-2</t>
  </si>
  <si>
    <t>juliasbarros798@gmail.com</t>
  </si>
  <si>
    <t>71 996394758</t>
  </si>
  <si>
    <t>sbbarros1@gmail.com</t>
  </si>
  <si>
    <t>Isabella Irina Mendoza Oliveira</t>
  </si>
  <si>
    <t>085.327.155-08</t>
  </si>
  <si>
    <t>20887143-83</t>
  </si>
  <si>
    <t>Idenilde Silva Oliveira</t>
  </si>
  <si>
    <t>778.689.195-15</t>
  </si>
  <si>
    <t>Av. Cardeal da Silva</t>
  </si>
  <si>
    <t>nº 590</t>
  </si>
  <si>
    <t>40.210-245</t>
  </si>
  <si>
    <t>Prendas do Lar</t>
  </si>
  <si>
    <t>Luanasilval11oficial@gmail.com</t>
  </si>
  <si>
    <t>47055-4</t>
  </si>
  <si>
    <t>Matheus Oliveira da Silva</t>
  </si>
  <si>
    <t>17.04.2007</t>
  </si>
  <si>
    <t>075.424.815-17</t>
  </si>
  <si>
    <t>Amanda Oliveira Santos</t>
  </si>
  <si>
    <t>Av. Rio Verde</t>
  </si>
  <si>
    <t>nº 15F</t>
  </si>
  <si>
    <t>Alto das Pombas - Federação</t>
  </si>
  <si>
    <t>40.226-485</t>
  </si>
  <si>
    <t>Do lar</t>
  </si>
  <si>
    <t>71 983308749</t>
  </si>
  <si>
    <t>72 983308749</t>
  </si>
  <si>
    <t>amandaoliveira006@outlook.com</t>
  </si>
  <si>
    <t>52901-X</t>
  </si>
  <si>
    <t>Samara Queirós Muniz de Jesus</t>
  </si>
  <si>
    <t>04.02.2008</t>
  </si>
  <si>
    <t>088.048.635-01</t>
  </si>
  <si>
    <t>21085563-03</t>
  </si>
  <si>
    <t>22.02.2013</t>
  </si>
  <si>
    <t>Antônio Fernando Souza Muniz de Jesus</t>
  </si>
  <si>
    <t>785.103.925-87</t>
  </si>
  <si>
    <t>Ladeira Alto da Bola</t>
  </si>
  <si>
    <t>nº 45</t>
  </si>
  <si>
    <t>40.239-850</t>
  </si>
  <si>
    <t>Microempreendedor individual</t>
  </si>
  <si>
    <t>71 996541750</t>
  </si>
  <si>
    <t>71 987517807</t>
  </si>
  <si>
    <t>sammy.quelyros18@gmail.com</t>
  </si>
  <si>
    <t>78669-1</t>
  </si>
  <si>
    <t>Janaína Batista Santos</t>
  </si>
  <si>
    <t>8-9° ano</t>
  </si>
  <si>
    <t>120.275.785-52</t>
  </si>
  <si>
    <t>Elisângela Lazaro Batista</t>
  </si>
  <si>
    <t>853.229.115-53</t>
  </si>
  <si>
    <t>Alto do Sobradinho</t>
  </si>
  <si>
    <t>n° 38</t>
  </si>
  <si>
    <t>40.230-290</t>
  </si>
  <si>
    <t>Dona de casa</t>
  </si>
  <si>
    <t>71 987701878</t>
  </si>
  <si>
    <t>janabatista005@gmail.com</t>
  </si>
  <si>
    <t>47.065-1</t>
  </si>
  <si>
    <t>Thiago Neves Fagundes Brito</t>
  </si>
  <si>
    <t>092.811.405-86</t>
  </si>
  <si>
    <t>Aline Mª Santos das Neves</t>
  </si>
  <si>
    <t>611.827.025-20</t>
  </si>
  <si>
    <t>n° 24</t>
  </si>
  <si>
    <t>71 996554517</t>
  </si>
  <si>
    <t>thiagoneves06.th@gmail.com</t>
  </si>
  <si>
    <t xml:space="preserve">Ian Santos do Carmo
</t>
  </si>
  <si>
    <t>Fernanda dos Santos Souza Bomfim</t>
  </si>
  <si>
    <t>084.991.125-79</t>
  </si>
  <si>
    <t>23786975-62</t>
  </si>
  <si>
    <t>10.06.2021</t>
  </si>
  <si>
    <t>Jeneide dos Santos Souza</t>
  </si>
  <si>
    <t>033.216.785-27</t>
  </si>
  <si>
    <t>Ladeira 13 de julho</t>
  </si>
  <si>
    <t>nº 63</t>
  </si>
  <si>
    <t xml:space="preserve">Federação </t>
  </si>
  <si>
    <t>Doméstica</t>
  </si>
  <si>
    <t>71 997185906</t>
  </si>
  <si>
    <t>fn5527@gmail.com</t>
  </si>
  <si>
    <t>3385-5</t>
  </si>
  <si>
    <t>43433-7</t>
  </si>
  <si>
    <t>Mel Ellen Mascarenhas de  Souza Santos</t>
  </si>
  <si>
    <t>096.952.705-57</t>
  </si>
  <si>
    <t>21733758-90</t>
  </si>
  <si>
    <t>Edilson de Souza Santos</t>
  </si>
  <si>
    <t>906.286.915-72</t>
  </si>
  <si>
    <t>Trav. Apolinário Santana</t>
  </si>
  <si>
    <t>nº 12 Casa</t>
  </si>
  <si>
    <t>40.221-295</t>
  </si>
  <si>
    <t>71 981749475</t>
  </si>
  <si>
    <t>71 986248714</t>
  </si>
  <si>
    <t>Agnes Cibele Lacerda Coordeiro</t>
  </si>
  <si>
    <t>26.03.2009</t>
  </si>
  <si>
    <t>103.763.125-05</t>
  </si>
  <si>
    <t>23122280-76</t>
  </si>
  <si>
    <t>23.01.2019</t>
  </si>
  <si>
    <t>Jaqueline Lacerda Cordeiro</t>
  </si>
  <si>
    <t>955.843.155-91</t>
  </si>
  <si>
    <t>Rua das Mangueiras</t>
  </si>
  <si>
    <t>n / 07 - Setor I</t>
  </si>
  <si>
    <t>Mussurunga 2</t>
  </si>
  <si>
    <t>41.480-385</t>
  </si>
  <si>
    <t>Pedagoga</t>
  </si>
  <si>
    <t>71 999699569</t>
  </si>
  <si>
    <t>agic1726@gmail.com</t>
  </si>
  <si>
    <t>77.886-9</t>
  </si>
  <si>
    <t>Rana Rodrigues Pires de Jesus</t>
  </si>
  <si>
    <t>03.12.2007</t>
  </si>
  <si>
    <t>121.690.465-00</t>
  </si>
  <si>
    <t>23532545-78</t>
  </si>
  <si>
    <t>20.01.2020</t>
  </si>
  <si>
    <t>Josenice Rodrigues Pires</t>
  </si>
  <si>
    <t>814.402.515-68</t>
  </si>
  <si>
    <t>Rua José Ramos</t>
  </si>
  <si>
    <t>nº 73</t>
  </si>
  <si>
    <t>Eng. Velho de Brotas</t>
  </si>
  <si>
    <t>40.243-520</t>
  </si>
  <si>
    <t>Autônoma</t>
  </si>
  <si>
    <t>71 997370187</t>
  </si>
  <si>
    <t>ranapires0312@gmail.com</t>
  </si>
  <si>
    <t>52266-X</t>
  </si>
  <si>
    <t>Paulo Victor Jesus da Conceição</t>
  </si>
  <si>
    <t>21.08.2008</t>
  </si>
  <si>
    <t>116.721.145-60</t>
  </si>
  <si>
    <t>23588913-04</t>
  </si>
  <si>
    <t>04.03.2020</t>
  </si>
  <si>
    <t>Cleide Jane Lima de Jesus</t>
  </si>
  <si>
    <t>039.322.085-01</t>
  </si>
  <si>
    <t>Rua das Palmeiras</t>
  </si>
  <si>
    <t>nº 07 - Casa</t>
  </si>
  <si>
    <t>40.220-880</t>
  </si>
  <si>
    <t>Serv. Gerais</t>
  </si>
  <si>
    <t>71 988173533</t>
  </si>
  <si>
    <t>36413-4</t>
  </si>
  <si>
    <t>Alannis Dimas Carvalho Gonçalves</t>
  </si>
  <si>
    <t>106.411.525-07</t>
  </si>
  <si>
    <t>Alana Mª S. Dimas Carvalho</t>
  </si>
  <si>
    <t>015.247.775-60.</t>
  </si>
  <si>
    <t>Trav. Assis - Av. Cardeal da Silva</t>
  </si>
  <si>
    <t>nº 43E</t>
  </si>
  <si>
    <t>40.221-265</t>
  </si>
  <si>
    <t>71 996006849</t>
  </si>
  <si>
    <t>71 33323912</t>
  </si>
  <si>
    <t>allanisdimas@gmail.com</t>
  </si>
  <si>
    <t>36393-6</t>
  </si>
  <si>
    <t>Daniel Sacramento Silva</t>
  </si>
  <si>
    <t>124.705.075-02</t>
  </si>
  <si>
    <t>22204741-00</t>
  </si>
  <si>
    <t>José Oliveira Moura da Silva</t>
  </si>
  <si>
    <t>157.741.715-15</t>
  </si>
  <si>
    <t>nº 08</t>
  </si>
  <si>
    <t>Téc. Refrigeração</t>
  </si>
  <si>
    <t>71 987178952</t>
  </si>
  <si>
    <t>danielsacramento150@gmail.com</t>
  </si>
  <si>
    <t>47047-3</t>
  </si>
  <si>
    <t>Dimitri Silva Moreira</t>
  </si>
  <si>
    <t>28.09.2008</t>
  </si>
  <si>
    <t>107.147.445-65</t>
  </si>
  <si>
    <t>16183990-80</t>
  </si>
  <si>
    <t>28.12.20018</t>
  </si>
  <si>
    <t>Sheila de Jesus Silva</t>
  </si>
  <si>
    <t>032.010.885-60</t>
  </si>
  <si>
    <t>n° 46 - Trav. Verbena</t>
  </si>
  <si>
    <t>40.223-286</t>
  </si>
  <si>
    <t>Tec. Saúde Bucal</t>
  </si>
  <si>
    <t>71 987749630</t>
  </si>
  <si>
    <t>71 991466743</t>
  </si>
  <si>
    <t>demetrioussilva@gmail.com</t>
  </si>
  <si>
    <t>47073-2</t>
  </si>
  <si>
    <t>Evelin Daniele Santos Araújo da Silva</t>
  </si>
  <si>
    <t>122.669.205-29</t>
  </si>
  <si>
    <t>23680665-35</t>
  </si>
  <si>
    <t>Humberto Araújo da SIlva</t>
  </si>
  <si>
    <t>620.085.611-91</t>
  </si>
  <si>
    <t>Rua Valter Ferreira</t>
  </si>
  <si>
    <t>nº 46 Casa</t>
  </si>
  <si>
    <t>40.221-090</t>
  </si>
  <si>
    <t>Estofador</t>
  </si>
  <si>
    <t>71 988396058</t>
  </si>
  <si>
    <t>evelindaniele91@gmail.com</t>
  </si>
  <si>
    <t>3449-6</t>
  </si>
  <si>
    <t>47052-X</t>
  </si>
  <si>
    <t>Leidiane Oliveira do Espírito Santo</t>
  </si>
  <si>
    <t>29.11.2008</t>
  </si>
  <si>
    <t>107.471.115-70</t>
  </si>
  <si>
    <t>20618992-34</t>
  </si>
  <si>
    <t>07.05.2021</t>
  </si>
  <si>
    <t>Alexnaldo Silva do Espirito Santo</t>
  </si>
  <si>
    <t>012.539.605-85</t>
  </si>
  <si>
    <t>Rua Nazaré de Maria</t>
  </si>
  <si>
    <t xml:space="preserve">nº 26 </t>
  </si>
  <si>
    <t>40.225-160</t>
  </si>
  <si>
    <t>Segurança</t>
  </si>
  <si>
    <t>71 987896458</t>
  </si>
  <si>
    <t>71 32037578</t>
  </si>
  <si>
    <t>alexnaldo.silva@gmail.com</t>
  </si>
  <si>
    <t>47066-X</t>
  </si>
  <si>
    <t>Evelin da Silva e Silva</t>
  </si>
  <si>
    <t>Jequié</t>
  </si>
  <si>
    <t>116.676.365-02</t>
  </si>
  <si>
    <t>20322403-51</t>
  </si>
  <si>
    <t>Solange Francisco da Silva</t>
  </si>
  <si>
    <t>028.792.355-02</t>
  </si>
  <si>
    <t>Rua Alberto Ferreira</t>
  </si>
  <si>
    <t>nº 40 - casa</t>
  </si>
  <si>
    <t>40.220-300</t>
  </si>
  <si>
    <t>75 999445775</t>
  </si>
  <si>
    <t>solangefrancisco0082gmail.com</t>
  </si>
  <si>
    <t>47078-3</t>
  </si>
  <si>
    <t>IFBA</t>
  </si>
  <si>
    <t>1º Série E. Médio</t>
  </si>
  <si>
    <t>E</t>
  </si>
  <si>
    <t>Lad. Coronel João de Deus, nº 12</t>
  </si>
  <si>
    <t>Engenho Velho da Federação</t>
  </si>
  <si>
    <t>71 993095828</t>
  </si>
  <si>
    <t>lakitasy@gmail.com</t>
  </si>
  <si>
    <t>50929-9</t>
  </si>
  <si>
    <t>Escola Estadual Senador ACM</t>
  </si>
  <si>
    <t>Caíque Brito do Rozario</t>
  </si>
  <si>
    <t>868.727.095-52</t>
  </si>
  <si>
    <t>21894317-27</t>
  </si>
  <si>
    <t>02.09.2015</t>
  </si>
  <si>
    <t>Laize da Silva Brito</t>
  </si>
  <si>
    <t>053.247.305 13</t>
  </si>
  <si>
    <t xml:space="preserve">Rua Nabucodonosor </t>
  </si>
  <si>
    <t>Nº 28-E</t>
  </si>
  <si>
    <t>40.230-340</t>
  </si>
  <si>
    <t>71 987279328</t>
  </si>
  <si>
    <t>britolaize29@gmail.com</t>
  </si>
  <si>
    <t>2914-1</t>
  </si>
  <si>
    <t>52.220-1</t>
  </si>
  <si>
    <t>Colégio Estadual da Bahia- CENTRAL</t>
  </si>
  <si>
    <t>Yasmin Santana da Silva Souza</t>
  </si>
  <si>
    <t>072.009.475~55</t>
  </si>
  <si>
    <t>15152425-44</t>
  </si>
  <si>
    <t>Juceleide Santana da Silva</t>
  </si>
  <si>
    <t>788.322.765-34</t>
  </si>
  <si>
    <t>Rua Sr. do Bomfim</t>
  </si>
  <si>
    <t>nº 286</t>
  </si>
  <si>
    <t>Saramandaia</t>
  </si>
  <si>
    <t>41.100-600</t>
  </si>
  <si>
    <t>71 994149074</t>
  </si>
  <si>
    <t>ohyas65@gmail.com</t>
  </si>
  <si>
    <t>74934-6</t>
  </si>
  <si>
    <t>DEISE VICTORIA DOS SANTOS SANTANA</t>
  </si>
  <si>
    <t>1º ano E.M</t>
  </si>
  <si>
    <t>109.506.515-75</t>
  </si>
  <si>
    <t>23118245-70</t>
  </si>
  <si>
    <t>Gilmara Silva dos Santos Santana</t>
  </si>
  <si>
    <t>010.861.635-59</t>
  </si>
  <si>
    <t>Trav. 1 - Apolinário</t>
  </si>
  <si>
    <t>nº 102</t>
  </si>
  <si>
    <t>71 985464154</t>
  </si>
  <si>
    <t>victoriadeise8@gmail.com</t>
  </si>
  <si>
    <t>52226-0</t>
  </si>
  <si>
    <t>LETICIA AZEVEDO SANTOS</t>
  </si>
  <si>
    <t>068.114.145-02</t>
  </si>
  <si>
    <t>21046365-15</t>
  </si>
  <si>
    <t>Lidiane Azevedo Santos</t>
  </si>
  <si>
    <t>790.867.055-53</t>
  </si>
  <si>
    <t>Trav. Lidiane Azevedo</t>
  </si>
  <si>
    <t>Campinas de Pirajá</t>
  </si>
  <si>
    <t>41.275-206</t>
  </si>
  <si>
    <t>71 989518284</t>
  </si>
  <si>
    <t>leticiaazevedost@gmail.com</t>
  </si>
  <si>
    <t>2º Série EM</t>
  </si>
  <si>
    <t>Davi Mota Cardoso da Cruz</t>
  </si>
  <si>
    <t>079.212.935-06</t>
  </si>
  <si>
    <t>22161141-03</t>
  </si>
  <si>
    <t>16.05.2016</t>
  </si>
  <si>
    <t>Sidnéa Mota Cardoso</t>
  </si>
  <si>
    <t>823.362.615-53</t>
  </si>
  <si>
    <t>Rua João Gonçalves Tourinho</t>
  </si>
  <si>
    <t xml:space="preserve">nº 31 </t>
  </si>
  <si>
    <t>41.950-390</t>
  </si>
  <si>
    <t>Auxiliar de Oftalmologia</t>
  </si>
  <si>
    <t>71 91466743</t>
  </si>
  <si>
    <t>71 986897556</t>
  </si>
  <si>
    <t>motadavi283@gmail.com</t>
  </si>
  <si>
    <t>52908-7</t>
  </si>
  <si>
    <t>(71)986821501</t>
  </si>
  <si>
    <t>Belle Marinne Nascimento Ludugero</t>
  </si>
  <si>
    <t>053.473.925-33</t>
  </si>
  <si>
    <t>15886579-06</t>
  </si>
  <si>
    <t>25.10.2014</t>
  </si>
  <si>
    <t>Raquel Nascimento dos Santos</t>
  </si>
  <si>
    <t>014.304.625-07</t>
  </si>
  <si>
    <t>2ª Trav. Manoel Rangel</t>
  </si>
  <si>
    <t>Ed. Raquel, nº 2A -  Ap. 101</t>
  </si>
  <si>
    <t>40.170-450</t>
  </si>
  <si>
    <t xml:space="preserve">salvador </t>
  </si>
  <si>
    <t>Tecnica em enfermagem</t>
  </si>
  <si>
    <t>71 987824883</t>
  </si>
  <si>
    <t>71 987747246</t>
  </si>
  <si>
    <t>bmarianne2020@gmail.com</t>
  </si>
  <si>
    <t>79592-5</t>
  </si>
  <si>
    <t>1° série EM</t>
  </si>
  <si>
    <t>15596961-76</t>
  </si>
  <si>
    <t>Valdete S. de Jesus</t>
  </si>
  <si>
    <t xml:space="preserve">810.457.785-91 </t>
  </si>
  <si>
    <t>RUA IBTUPAN, Nº 326-E</t>
  </si>
  <si>
    <t>71 991016115</t>
  </si>
  <si>
    <t>0006-X</t>
  </si>
  <si>
    <t>129916-6</t>
  </si>
  <si>
    <t>Lucilene da S. Ventura</t>
  </si>
  <si>
    <t>nº 74</t>
  </si>
  <si>
    <t>72 986296139</t>
  </si>
  <si>
    <t>47.090-2</t>
  </si>
  <si>
    <t>23.303.888-45</t>
  </si>
  <si>
    <t>Jessica Lúcia da S. Santos</t>
  </si>
  <si>
    <t>n° 112 - Av. Neto -Fundos</t>
  </si>
  <si>
    <t>mariaclaramoscoso4@gmail.com</t>
  </si>
  <si>
    <t>Isabel Cristina Pinho dos Santos</t>
  </si>
  <si>
    <t>Brasileria</t>
  </si>
  <si>
    <t>098.594.055-73</t>
  </si>
  <si>
    <t>22760074-60</t>
  </si>
  <si>
    <t>16.02.2018</t>
  </si>
  <si>
    <t>Avonilda Pinho dos Santos</t>
  </si>
  <si>
    <t>425.304.905-20</t>
  </si>
  <si>
    <t>Trav. Vila Vale</t>
  </si>
  <si>
    <t>nº 11-E</t>
  </si>
  <si>
    <t>71 997375544</t>
  </si>
  <si>
    <t>71 999339038</t>
  </si>
  <si>
    <t xml:space="preserve">cris.isa.ps@gmail.com </t>
  </si>
  <si>
    <t>49532-8</t>
  </si>
  <si>
    <t>Rafaella Victoria dos Santos Santana</t>
  </si>
  <si>
    <t>106.743.425-93</t>
  </si>
  <si>
    <t>21826653-74</t>
  </si>
  <si>
    <t>16.06.2015</t>
  </si>
  <si>
    <t>Ana Rita de Cássia dos Santos Santana</t>
  </si>
  <si>
    <t>614.472.855-49</t>
  </si>
  <si>
    <t>nº 661</t>
  </si>
  <si>
    <t>Confeiteira</t>
  </si>
  <si>
    <t>71 988057828</t>
  </si>
  <si>
    <t>1° Série EM</t>
  </si>
  <si>
    <t>Lívia Marcely Aquino da Silva</t>
  </si>
  <si>
    <t>868.743.825-78</t>
  </si>
  <si>
    <t>23536400-28</t>
  </si>
  <si>
    <t>22.07.2020</t>
  </si>
  <si>
    <t>Elienay Nascimento de Aquino</t>
  </si>
  <si>
    <t>795.138.085-72</t>
  </si>
  <si>
    <t>Ladeira do Alto da Bola</t>
  </si>
  <si>
    <t>nº 37</t>
  </si>
  <si>
    <t>40.230-555</t>
  </si>
  <si>
    <t>71 992749904</t>
  </si>
  <si>
    <t>71 999007835</t>
  </si>
  <si>
    <t>marcelylivia@gmail.com</t>
  </si>
  <si>
    <t>49427-5</t>
  </si>
  <si>
    <t>Bruna do Carmo Oliveira</t>
  </si>
  <si>
    <t>859.893.465-81</t>
  </si>
  <si>
    <t>20661366-03</t>
  </si>
  <si>
    <t>17.01.2012</t>
  </si>
  <si>
    <t>Nelma do Carmo Oliveira</t>
  </si>
  <si>
    <t>664.388.455-15</t>
  </si>
  <si>
    <t>Ladeira da Paz</t>
  </si>
  <si>
    <t>n° 08</t>
  </si>
  <si>
    <t>40.220-025</t>
  </si>
  <si>
    <t>Do Lar</t>
  </si>
  <si>
    <t>71 983914923</t>
  </si>
  <si>
    <t>71 981930854</t>
  </si>
  <si>
    <t>49.498-4</t>
  </si>
  <si>
    <t>Esther Santana Alves Silva</t>
  </si>
  <si>
    <t>867.324.145-69</t>
  </si>
  <si>
    <t>22938122-78</t>
  </si>
  <si>
    <t>17.08.2018</t>
  </si>
  <si>
    <t>Daniela Santana Alves Silva</t>
  </si>
  <si>
    <t>947.197.565-49</t>
  </si>
  <si>
    <t>Rua da Adutora</t>
  </si>
  <si>
    <t>n° 34 - Fundos</t>
  </si>
  <si>
    <t>São Cristovão</t>
  </si>
  <si>
    <t>41.510-350</t>
  </si>
  <si>
    <t>71 983552641</t>
  </si>
  <si>
    <t>71 992382391</t>
  </si>
  <si>
    <t>tete21617@gmail.com</t>
  </si>
  <si>
    <t>1602-0</t>
  </si>
  <si>
    <t>103709-9</t>
  </si>
  <si>
    <t>Cauan Henrique de Jesus Santos</t>
  </si>
  <si>
    <t>118.413.605-03</t>
  </si>
  <si>
    <t>23569601-39</t>
  </si>
  <si>
    <t>13.02.2020</t>
  </si>
  <si>
    <t>Eliane de Jesus Santos</t>
  </si>
  <si>
    <t>039.035.705-75</t>
  </si>
  <si>
    <t>Travessa do Grilo</t>
  </si>
  <si>
    <t>nº 26-E A</t>
  </si>
  <si>
    <t>Pernambués</t>
  </si>
  <si>
    <t>41.100-112</t>
  </si>
  <si>
    <t>Feirante</t>
  </si>
  <si>
    <t>71 981544169</t>
  </si>
  <si>
    <t>hcauan1034@gmail.com</t>
  </si>
  <si>
    <t>79.488-0</t>
  </si>
  <si>
    <t>n] 46 - Trav. Verbena</t>
  </si>
  <si>
    <t>Emilly Gabrielly Silva de Souza</t>
  </si>
  <si>
    <t>Parnaiba</t>
  </si>
  <si>
    <t>Piauí</t>
  </si>
  <si>
    <t xml:space="preserve">Solteira </t>
  </si>
  <si>
    <t>125.935.555-13</t>
  </si>
  <si>
    <t>1ª Travessa, nº 1501</t>
  </si>
  <si>
    <t>71 9850907</t>
  </si>
  <si>
    <t>71 985090907</t>
  </si>
  <si>
    <t>gabriellyemilly5092gmail.com</t>
  </si>
  <si>
    <t>Guilherme Augusto Santana dos Santos</t>
  </si>
  <si>
    <t>Soleiro</t>
  </si>
  <si>
    <t>090.561.165-92</t>
  </si>
  <si>
    <t>21024065-20</t>
  </si>
  <si>
    <t>Carlos Augusto Sá dos Santos</t>
  </si>
  <si>
    <t>647.066.645-00</t>
  </si>
  <si>
    <t>nº 50</t>
  </si>
  <si>
    <t>Dom Avelar</t>
  </si>
  <si>
    <t>Industriário</t>
  </si>
  <si>
    <t>71 991348115</t>
  </si>
  <si>
    <t>Colégio Estadual Mário Augusto Teixeira de Freitas</t>
  </si>
  <si>
    <t>EE MANOEL DEVOTO</t>
  </si>
  <si>
    <t>25.10.2021</t>
  </si>
  <si>
    <t>Ladeira de Xaponã</t>
  </si>
  <si>
    <t>nº 13</t>
  </si>
  <si>
    <t>71 991357383</t>
  </si>
  <si>
    <t>22339315-05</t>
  </si>
  <si>
    <t>28.11.2016</t>
  </si>
  <si>
    <t>Aline Maria Santos das Neves</t>
  </si>
  <si>
    <t xml:space="preserve">Rua Apolinário </t>
  </si>
  <si>
    <t>nº 24</t>
  </si>
  <si>
    <t xml:space="preserve">Professora </t>
  </si>
  <si>
    <t>71 996999067</t>
  </si>
  <si>
    <t>Colégio Estadual Deputado Manoel Novaes</t>
  </si>
  <si>
    <t>23448233-87</t>
  </si>
  <si>
    <t>08.11.2019</t>
  </si>
  <si>
    <t xml:space="preserve">Elisângela Lázaro Batista </t>
  </si>
  <si>
    <t>Rua Alto do Sobradinho</t>
  </si>
  <si>
    <t>nº 38</t>
  </si>
  <si>
    <t>Centro Educacional Edgard Santos</t>
  </si>
  <si>
    <t>2º Série E. Médio</t>
  </si>
  <si>
    <t>Júlia Samara Mendes Ribeiro</t>
  </si>
  <si>
    <t>161365299-2</t>
  </si>
  <si>
    <t>16.09.2019</t>
  </si>
  <si>
    <t>Orlando Ribeiro dos Santos Filho</t>
  </si>
  <si>
    <t>2ª Travessa do Corte Grande</t>
  </si>
  <si>
    <t>Salva Vidas</t>
  </si>
  <si>
    <t>Juliana de Morais Nascimento</t>
  </si>
  <si>
    <t>158.285.177-83</t>
  </si>
  <si>
    <t>26221312-7</t>
  </si>
  <si>
    <t>29.04.2011</t>
  </si>
  <si>
    <t>Marianne Bafica de Morais Nascimento</t>
  </si>
  <si>
    <t>079.874.947-47</t>
  </si>
  <si>
    <t>Rua Prof. Rômulo Almeida</t>
  </si>
  <si>
    <t>nº 189 - 3º andar</t>
  </si>
  <si>
    <t>Acupe de Brotas</t>
  </si>
  <si>
    <t>40.290-030</t>
  </si>
  <si>
    <t xml:space="preserve">Neuropsicopedagoga </t>
  </si>
  <si>
    <t>21 989985746</t>
  </si>
  <si>
    <t>71 993874429</t>
  </si>
  <si>
    <t>julianamoraisnascimento285@gmail.com</t>
  </si>
  <si>
    <t>49219-1</t>
  </si>
  <si>
    <t>Juliana Fernandes dos Santos</t>
  </si>
  <si>
    <t>869.348.595-45</t>
  </si>
  <si>
    <t>21465866-05</t>
  </si>
  <si>
    <t>08.05.2014</t>
  </si>
  <si>
    <t>Cledionar dos Santos</t>
  </si>
  <si>
    <t>944.299.795-53</t>
  </si>
  <si>
    <t>Rua Nova Esperança</t>
  </si>
  <si>
    <t xml:space="preserve">nº 19-E Casa </t>
  </si>
  <si>
    <t>Palestina</t>
  </si>
  <si>
    <t>41.308-060</t>
  </si>
  <si>
    <t>Auxiliar de higienização</t>
  </si>
  <si>
    <t>71 993649934</t>
  </si>
  <si>
    <t>71 991151864</t>
  </si>
  <si>
    <t>julyanna1215@gmail.com</t>
  </si>
  <si>
    <t>81330-3</t>
  </si>
  <si>
    <t>Maria Clara dos Santos Gonçalves</t>
  </si>
  <si>
    <t>862.309.525-13</t>
  </si>
  <si>
    <t>21348230-46</t>
  </si>
  <si>
    <t>23.12.2013</t>
  </si>
  <si>
    <t>Nilcea de Santana dos Santos</t>
  </si>
  <si>
    <t>677.661.025-87</t>
  </si>
  <si>
    <t>Samia Rebeca dos Anjos Santos</t>
  </si>
  <si>
    <t>096.389.485-40</t>
  </si>
  <si>
    <t>21758947-20</t>
  </si>
  <si>
    <t>30.03.2015</t>
  </si>
  <si>
    <t>Michele Souza dos Anjos</t>
  </si>
  <si>
    <t>052.486.325-96</t>
  </si>
  <si>
    <t>Ladeira dos Gales</t>
  </si>
  <si>
    <t>nº 22</t>
  </si>
  <si>
    <t>Matatu</t>
  </si>
  <si>
    <t>40.255-10</t>
  </si>
  <si>
    <t>71-987079692</t>
  </si>
  <si>
    <t>072.009475-55</t>
  </si>
  <si>
    <t>13.06.2014</t>
  </si>
  <si>
    <t>Jucileide Santana da Silva Souza</t>
  </si>
  <si>
    <t>Rua Senhor do Bonfim</t>
  </si>
  <si>
    <t>71 992512630</t>
  </si>
  <si>
    <t>yasminsantana.cdnaep@gmail.com</t>
  </si>
  <si>
    <t>Escola Municipal Cidade de Jequié</t>
  </si>
  <si>
    <t xml:space="preserve">Alice Vitória </t>
  </si>
  <si>
    <t>71 98208-7503</t>
  </si>
  <si>
    <t>.</t>
  </si>
  <si>
    <t>Gabriela Silva de Oliveira</t>
  </si>
  <si>
    <t>71 98379-5937</t>
  </si>
  <si>
    <t>Riana Eduardo Santos Lima</t>
  </si>
  <si>
    <t>71 98755-6816</t>
  </si>
  <si>
    <t>Laura dos Santos Cortes</t>
  </si>
  <si>
    <t>71 99128-5147</t>
  </si>
  <si>
    <t>Sophia Santos Silva</t>
  </si>
  <si>
    <t>71 98530-0015</t>
  </si>
  <si>
    <t>Escola Municipal Iacy Vaz</t>
  </si>
  <si>
    <t>Ana Luiza Silva Passos</t>
  </si>
  <si>
    <t xml:space="preserve">71 999732124 </t>
  </si>
  <si>
    <t>Karine Lopes da Silva</t>
  </si>
  <si>
    <t xml:space="preserve">71 984691133 </t>
  </si>
  <si>
    <t>Natalie Alves dos Santos</t>
  </si>
  <si>
    <t xml:space="preserve">71 991209687 </t>
  </si>
  <si>
    <t>Samara Lopes dos Santos</t>
  </si>
  <si>
    <t xml:space="preserve">71 987137396 </t>
  </si>
  <si>
    <t>Sophia dos Santos Couto</t>
  </si>
  <si>
    <t xml:space="preserve">71 987360147 </t>
  </si>
  <si>
    <t>Escola Municipal Teodoro Sampaio</t>
  </si>
  <si>
    <t>Dandara Santos Santana</t>
  </si>
  <si>
    <t>71 99172-0807</t>
  </si>
  <si>
    <t>Gabriella Santos da Rocha</t>
  </si>
  <si>
    <t>71 989519203</t>
  </si>
  <si>
    <t>Alexandra Silva Santana</t>
  </si>
  <si>
    <t>71 98504-1285</t>
  </si>
  <si>
    <t>Escola Municipal São Domingos Sávio</t>
  </si>
  <si>
    <t>Anna Julia dos Santos Pires</t>
  </si>
  <si>
    <t>Maria Eduarda Cruz Souza</t>
  </si>
  <si>
    <t>71 99113-4223</t>
  </si>
  <si>
    <t>Maria Eduarda Vicente da Paixão</t>
  </si>
  <si>
    <t>71 98370‑7676</t>
  </si>
  <si>
    <t>Sophia de Jesus Fiuza Braga</t>
  </si>
  <si>
    <t>71 99274-7795</t>
  </si>
  <si>
    <t>Thauane Cristina Santana de Souza</t>
  </si>
  <si>
    <t>71 98522‑8583‬</t>
  </si>
  <si>
    <t>Maria Eduarda Gomes de Oliveira</t>
  </si>
  <si>
    <t>71 98392-5853</t>
  </si>
  <si>
    <t xml:space="preserve">Ana Gabriela Oliveira Carvalho </t>
  </si>
  <si>
    <t>130.400.605-03</t>
  </si>
  <si>
    <t>24.411.992-93</t>
  </si>
  <si>
    <t>anagabrielaoliveiracarvalho6@gmail.com</t>
  </si>
  <si>
    <t xml:space="preserve">Sophia de Carvalho Pereira </t>
  </si>
  <si>
    <t>079.929.215-00</t>
  </si>
  <si>
    <t>-</t>
  </si>
  <si>
    <t>carvalhosophiadecarvalhopereir@gmail.com</t>
  </si>
  <si>
    <t xml:space="preserve">Nicole Santana Soares Silva </t>
  </si>
  <si>
    <t>573.431.188-03</t>
  </si>
  <si>
    <t>63.793.941-4</t>
  </si>
  <si>
    <t>soaresnicole2612@gmail.com</t>
  </si>
  <si>
    <t xml:space="preserve">Maria Flor de Castro Caribe Testagrossa </t>
  </si>
  <si>
    <t>086.199.195-80</t>
  </si>
  <si>
    <t>21033192-57</t>
  </si>
  <si>
    <t>mariaflorcaribe@gmail.com</t>
  </si>
  <si>
    <t xml:space="preserve">Luana Silva Mesquita </t>
  </si>
  <si>
    <t>075.005.595-26</t>
  </si>
  <si>
    <t>21.579.353-63</t>
  </si>
  <si>
    <t>mesquitamiguel557@gmail.com</t>
  </si>
  <si>
    <t xml:space="preserve">Isadora Laurino de Jesus Lima  </t>
  </si>
  <si>
    <t>097.777.675-10</t>
  </si>
  <si>
    <t>isalima200513@gmail.com</t>
  </si>
  <si>
    <t xml:space="preserve">Kayla Mirela Souza da Conceição </t>
  </si>
  <si>
    <t>084.739.445-00</t>
  </si>
  <si>
    <t>tudodamae251@gmail.com</t>
  </si>
  <si>
    <t xml:space="preserve">Lais Lima Defensor Gavazza </t>
  </si>
  <si>
    <t>103.525.405-08</t>
  </si>
  <si>
    <t>esdalima42@gmail.com</t>
  </si>
  <si>
    <t xml:space="preserve">Ester Rodrigues Batista </t>
  </si>
  <si>
    <t>105.584.245-46</t>
  </si>
  <si>
    <t>nadjarodrigues@gmail.com</t>
  </si>
  <si>
    <t>Escola Iacy Vaz Fagundes</t>
  </si>
  <si>
    <t xml:space="preserve">Laiara Victoria Monteiro </t>
  </si>
  <si>
    <t>126.924.945-20</t>
  </si>
  <si>
    <t>limaelisabeth953@gmail.com</t>
  </si>
  <si>
    <t xml:space="preserve">Yasmin Rebecca Goes Souza </t>
  </si>
  <si>
    <t>218.440.217-69</t>
  </si>
  <si>
    <t>y1487301@gmail.com</t>
  </si>
  <si>
    <t xml:space="preserve">Rafaela Conceição Oliveira </t>
  </si>
  <si>
    <t>24.784.212-59</t>
  </si>
  <si>
    <t>rafaconceicao2012@gmail.com</t>
  </si>
  <si>
    <t xml:space="preserve">Laura Beatriz Gama dos Santos   </t>
  </si>
  <si>
    <t>94.503.025-88</t>
  </si>
  <si>
    <t>beatrizgamalaura@gmail.com</t>
  </si>
  <si>
    <t xml:space="preserve">Laila Gabriela Souza Santos </t>
  </si>
  <si>
    <t>083.502.265-01</t>
  </si>
  <si>
    <t>lari_ls10@hotmail.com</t>
  </si>
  <si>
    <t xml:space="preserve">Gleyciane Campos do Rosário Nascimento </t>
  </si>
  <si>
    <t>863.020.075-85</t>
  </si>
  <si>
    <t>21.350.815-07</t>
  </si>
  <si>
    <t>gleycianecampos074@gmail.com</t>
  </si>
  <si>
    <t xml:space="preserve">Giovanna Cerqueira Souza </t>
  </si>
  <si>
    <t>116.596.005-29</t>
  </si>
  <si>
    <t>24.403.759-00</t>
  </si>
  <si>
    <t>giovannacerqueira103@gmail.com</t>
  </si>
  <si>
    <t xml:space="preserve">Maria Antonia Gomes da Conceição </t>
  </si>
  <si>
    <t>107.802.575-45</t>
  </si>
  <si>
    <t>24.557.865-01</t>
  </si>
  <si>
    <t>mgomesconceicao12@gmail.com</t>
  </si>
  <si>
    <t xml:space="preserve">Hanna Elizabeth Doman dos Santos </t>
  </si>
  <si>
    <t>076.997.415-52</t>
  </si>
  <si>
    <t>hannadoman178@gmail.com</t>
  </si>
  <si>
    <t xml:space="preserve">Sabrina Lara Souza Santos </t>
  </si>
  <si>
    <t>091.588.155-11</t>
  </si>
  <si>
    <t>21.775.570-46</t>
  </si>
  <si>
    <t>geovanacostadesouzasouza@gmail.com</t>
  </si>
  <si>
    <t>Escola Municipal Amélia Rodrigues</t>
  </si>
  <si>
    <t xml:space="preserve">Marcelle Rocha dos Santos </t>
  </si>
  <si>
    <t>116.123.855-75</t>
  </si>
  <si>
    <t>marcelle.rochaa33@gmail.com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</si>
</sst>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.mm\.yyyy"/>
    <numFmt numFmtId="165" formatCode="yyyy\-m"/>
    <numFmt numFmtId="166" formatCode="d\.m\.yyyy"/>
  </numFmts>
  <fonts count="4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sz val="11.0"/>
      <color rgb="FFFF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10.0"/>
      <color rgb="FF000000"/>
      <name val="Arial"/>
    </font>
    <font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b/>
      <color theme="1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0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sz val="9.0"/>
      <color rgb="FF000000"/>
      <name val="Google Sans"/>
    </font>
    <font>
      <sz val="10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0.0"/>
      <color rgb="FF0563C1"/>
      <name val="Calibri"/>
    </font>
    <font>
      <u/>
      <sz val="10.0"/>
      <color rgb="FF0000FF"/>
      <name val="Arial"/>
    </font>
    <font>
      <u/>
      <sz val="11.0"/>
      <color rgb="FF0563C1"/>
      <name val="Calibri"/>
    </font>
    <font>
      <sz val="11.0"/>
      <color rgb="FF000000"/>
      <name val="Google Sans"/>
    </font>
    <font>
      <sz val="7.0"/>
      <color theme="1"/>
      <name val="Arial"/>
    </font>
    <font>
      <sz val="9.0"/>
      <color theme="1"/>
      <name val="Arial"/>
    </font>
    <font>
      <u/>
      <sz val="9.0"/>
      <color rgb="FF0563C1"/>
      <name val="Arial"/>
    </font>
    <font>
      <sz val="8.0"/>
      <color theme="1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/>
    <font>
      <u/>
      <sz val="11.0"/>
      <color rgb="FF000000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E6FC"/>
        <bgColor rgb="FFD9E6FC"/>
      </patternFill>
    </fill>
    <fill>
      <patternFill patternType="solid">
        <fgColor rgb="FFD9F1F3"/>
        <bgColor rgb="FFD9F1F3"/>
      </patternFill>
    </fill>
    <fill>
      <patternFill patternType="solid">
        <fgColor rgb="FFD2F1DA"/>
        <bgColor rgb="FFD2F1DA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4A88"/>
      </left>
      <right style="thin">
        <color rgb="FF004A88"/>
      </right>
      <top style="thin">
        <color rgb="FF004A88"/>
      </top>
      <bottom style="thin">
        <color rgb="FF004A88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1" numFmtId="0" xfId="0" applyBorder="1" applyFont="1"/>
    <xf borderId="1" fillId="4" fontId="2" numFmtId="0" xfId="0" applyAlignment="1" applyBorder="1" applyFill="1" applyFont="1">
      <alignment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4" numFmtId="0" xfId="0" applyAlignment="1" applyBorder="1" applyFill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1" fillId="4" fontId="6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4" fontId="2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  <xf borderId="2" fillId="4" fontId="7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7" fontId="7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vertical="center"/>
    </xf>
    <xf borderId="1" fillId="0" fontId="9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6" fontId="10" numFmtId="0" xfId="0" applyAlignment="1" applyBorder="1" applyFont="1">
      <alignment vertical="center"/>
    </xf>
    <xf borderId="1" fillId="4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vertical="center"/>
    </xf>
    <xf borderId="1" fillId="8" fontId="9" numFmtId="0" xfId="0" applyAlignment="1" applyBorder="1" applyFill="1" applyFont="1">
      <alignment horizontal="center"/>
    </xf>
    <xf borderId="1" fillId="5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vertical="center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vertical="center"/>
    </xf>
    <xf borderId="1" fillId="4" fontId="3" numFmtId="0" xfId="0" applyAlignment="1" applyBorder="1" applyFont="1">
      <alignment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0" fontId="14" numFmtId="0" xfId="0" applyBorder="1" applyFont="1"/>
    <xf borderId="1" fillId="4" fontId="3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6" fontId="16" numFmtId="0" xfId="0" applyAlignment="1" applyBorder="1" applyFont="1">
      <alignment readingOrder="0" vertical="center"/>
    </xf>
    <xf borderId="1" fillId="5" fontId="17" numFmtId="0" xfId="0" applyAlignment="1" applyBorder="1" applyFont="1">
      <alignment vertical="center"/>
    </xf>
    <xf borderId="1" fillId="0" fontId="14" numFmtId="0" xfId="0" applyAlignment="1" applyBorder="1" applyFont="1">
      <alignment horizontal="center" vertical="center"/>
    </xf>
    <xf borderId="1" fillId="5" fontId="18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center" vertical="center"/>
    </xf>
    <xf borderId="3" fillId="4" fontId="14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readingOrder="0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3" fillId="5" fontId="19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3" fillId="6" fontId="20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4" fontId="9" numFmtId="0" xfId="0" applyAlignment="1" applyBorder="1" applyFont="1">
      <alignment horizontal="left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5" fillId="0" fontId="7" numFmtId="164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3" fillId="5" fontId="21" numFmtId="0" xfId="0" applyAlignment="1" applyBorder="1" applyFont="1">
      <alignment horizontal="center" shrinkToFit="0" vertical="center" wrapText="1"/>
    </xf>
    <xf borderId="3" fillId="5" fontId="9" numFmtId="165" xfId="0" applyAlignment="1" applyBorder="1" applyFont="1" applyNumberFormat="1">
      <alignment horizontal="center" shrinkToFit="0" vertical="center" wrapText="1"/>
    </xf>
    <xf borderId="3" fillId="5" fontId="7" numFmtId="0" xfId="0" applyAlignment="1" applyBorder="1" applyFont="1">
      <alignment horizontal="center" vertical="center"/>
    </xf>
    <xf borderId="1" fillId="4" fontId="15" numFmtId="0" xfId="0" applyAlignment="1" applyBorder="1" applyFont="1">
      <alignment horizontal="left" shrinkToFit="0" vertical="center" wrapText="1"/>
    </xf>
    <xf borderId="3" fillId="4" fontId="15" numFmtId="0" xfId="0" applyAlignment="1" applyBorder="1" applyFont="1">
      <alignment horizontal="center" shrinkToFit="0" vertical="center" wrapText="1"/>
    </xf>
    <xf borderId="5" fillId="0" fontId="1" numFmtId="14" xfId="0" applyAlignment="1" applyBorder="1" applyFont="1" applyNumberForma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7" fillId="0" fontId="1" numFmtId="14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8" fillId="4" fontId="15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vertical="center"/>
    </xf>
    <xf borderId="11" fillId="6" fontId="22" numFmtId="0" xfId="0" applyAlignment="1" applyBorder="1" applyFont="1">
      <alignment horizontal="center" shrinkToFit="0" vertical="center" wrapText="1"/>
    </xf>
    <xf borderId="11" fillId="6" fontId="14" numFmtId="0" xfId="0" applyAlignment="1" applyBorder="1" applyFont="1">
      <alignment horizontal="center" shrinkToFit="0" vertical="center" wrapText="1"/>
    </xf>
    <xf borderId="11" fillId="6" fontId="1" numFmtId="0" xfId="0" applyAlignment="1" applyBorder="1" applyFont="1">
      <alignment horizontal="center" vertical="center"/>
    </xf>
    <xf borderId="12" fillId="4" fontId="14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4" fontId="14" numFmtId="166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164" xfId="0" applyAlignment="1" applyBorder="1" applyFont="1" applyNumberFormat="1">
      <alignment horizontal="center" shrinkToFit="0" vertical="center" wrapText="1"/>
    </xf>
    <xf borderId="1" fillId="4" fontId="23" numFmtId="0" xfId="0" applyAlignment="1" applyBorder="1" applyFont="1">
      <alignment shrinkToFit="0" vertical="center" wrapText="1"/>
    </xf>
    <xf borderId="0" fillId="0" fontId="14" numFmtId="0" xfId="0" applyAlignment="1" applyFont="1">
      <alignment shrinkToFit="0" wrapText="1"/>
    </xf>
    <xf borderId="1" fillId="4" fontId="14" numFmtId="165" xfId="0" applyAlignment="1" applyBorder="1" applyFont="1" applyNumberFormat="1">
      <alignment horizontal="center" shrinkToFit="0" vertical="center" wrapText="1"/>
    </xf>
    <xf borderId="13" fillId="0" fontId="1" numFmtId="0" xfId="0" applyAlignment="1" applyBorder="1" applyFont="1">
      <alignment horizontal="center" vertical="center"/>
    </xf>
    <xf borderId="14" fillId="4" fontId="3" numFmtId="0" xfId="0" applyAlignment="1" applyBorder="1" applyFont="1">
      <alignment horizontal="left" shrinkToFit="0" vertical="center" wrapText="1"/>
    </xf>
    <xf borderId="15" fillId="4" fontId="14" numFmtId="0" xfId="0" applyAlignment="1" applyBorder="1" applyFont="1">
      <alignment horizontal="center" shrinkToFit="0" vertical="center" wrapText="1"/>
    </xf>
    <xf borderId="16" fillId="0" fontId="1" numFmtId="14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readingOrder="0" vertical="center"/>
    </xf>
    <xf borderId="16" fillId="0" fontId="24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5" fillId="5" fontId="25" numFmtId="0" xfId="0" applyAlignment="1" applyBorder="1" applyFont="1">
      <alignment horizontal="center" shrinkToFit="0" vertical="center" wrapText="1"/>
    </xf>
    <xf borderId="15" fillId="5" fontId="14" numFmtId="0" xfId="0" applyAlignment="1" applyBorder="1" applyFont="1">
      <alignment horizontal="center" shrinkToFit="0" vertical="center" wrapText="1"/>
    </xf>
    <xf borderId="15" fillId="5" fontId="1" numFmtId="0" xfId="0" applyAlignment="1" applyBorder="1" applyFont="1">
      <alignment horizontal="center" vertical="center"/>
    </xf>
    <xf borderId="1" fillId="0" fontId="14" numFmtId="16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0" fontId="14" numFmtId="165" xfId="0" applyAlignment="1" applyBorder="1" applyFont="1" applyNumberFormat="1">
      <alignment horizontal="center" vertical="center"/>
    </xf>
    <xf borderId="3" fillId="6" fontId="10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3" fillId="6" fontId="2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center" shrinkToFit="0" vertical="center" wrapText="1"/>
    </xf>
    <xf borderId="18" fillId="4" fontId="3" numFmtId="0" xfId="0" applyAlignment="1" applyBorder="1" applyFont="1">
      <alignment horizontal="left" shrinkToFit="0" vertical="center" wrapText="1"/>
    </xf>
    <xf borderId="19" fillId="4" fontId="14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shrinkToFit="0" vertical="center" wrapText="1"/>
    </xf>
    <xf borderId="19" fillId="6" fontId="1" numFmtId="0" xfId="0" applyAlignment="1" applyBorder="1" applyFont="1">
      <alignment horizontal="center" shrinkToFit="0" vertical="center" wrapText="1"/>
    </xf>
    <xf borderId="19" fillId="6" fontId="14" numFmtId="0" xfId="0" applyAlignment="1" applyBorder="1" applyFont="1">
      <alignment horizontal="center" shrinkToFit="0" vertical="center" wrapText="1"/>
    </xf>
    <xf borderId="19" fillId="6" fontId="1" numFmtId="0" xfId="0" applyAlignment="1" applyBorder="1" applyFont="1">
      <alignment horizontal="center" vertical="center"/>
    </xf>
    <xf borderId="12" fillId="4" fontId="14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left" vertical="center"/>
    </xf>
    <xf borderId="1" fillId="4" fontId="14" numFmtId="164" xfId="0" applyAlignment="1" applyBorder="1" applyFont="1" applyNumberFormat="1">
      <alignment horizontal="center" vertical="center"/>
    </xf>
    <xf borderId="1" fillId="4" fontId="14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readingOrder="0" vertical="center"/>
    </xf>
    <xf borderId="1" fillId="4" fontId="14" numFmtId="165" xfId="0" applyAlignment="1" applyBorder="1" applyFont="1" applyNumberFormat="1">
      <alignment horizontal="center" vertical="center"/>
    </xf>
    <xf borderId="4" fillId="6" fontId="1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 shrinkToFit="0" vertical="center" wrapText="1"/>
    </xf>
    <xf borderId="19" fillId="6" fontId="27" numFmtId="0" xfId="0" applyAlignment="1" applyBorder="1" applyFont="1">
      <alignment horizontal="center" shrinkToFit="0" vertical="center" wrapText="1"/>
    </xf>
    <xf borderId="20" fillId="6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5" fontId="14" numFmtId="165" xfId="0" applyAlignment="1" applyBorder="1" applyFont="1" applyNumberFormat="1">
      <alignment horizontal="center" shrinkToFit="0" vertical="center" wrapText="1"/>
    </xf>
    <xf borderId="1" fillId="0" fontId="14" numFmtId="166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1" numFmtId="0" xfId="0" applyBorder="1" applyFont="1"/>
    <xf borderId="5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3" fillId="6" fontId="1" numFmtId="0" xfId="0" applyBorder="1" applyFont="1"/>
    <xf borderId="1" fillId="0" fontId="1" numFmtId="0" xfId="0" applyAlignment="1" applyBorder="1" applyFont="1">
      <alignment horizontal="center"/>
    </xf>
    <xf borderId="5" fillId="0" fontId="28" numFmtId="0" xfId="0" applyBorder="1" applyFont="1"/>
    <xf borderId="6" fillId="0" fontId="1" numFmtId="0" xfId="0" applyAlignment="1" applyBorder="1" applyFont="1">
      <alignment horizontal="center"/>
    </xf>
    <xf borderId="0" fillId="0" fontId="14" numFmtId="0" xfId="0" applyFont="1"/>
    <xf borderId="21" fillId="0" fontId="1" numFmtId="0" xfId="0" applyAlignment="1" applyBorder="1" applyFont="1">
      <alignment horizontal="center" vertical="center"/>
    </xf>
    <xf borderId="18" fillId="4" fontId="15" numFmtId="0" xfId="0" applyAlignment="1" applyBorder="1" applyFont="1">
      <alignment horizontal="left" shrinkToFit="0" vertical="center" wrapText="1"/>
    </xf>
    <xf borderId="19" fillId="4" fontId="15" numFmtId="0" xfId="0" applyAlignment="1" applyBorder="1" applyFont="1">
      <alignment horizontal="center" shrinkToFit="0" vertical="center" wrapText="1"/>
    </xf>
    <xf borderId="19" fillId="5" fontId="29" numFmtId="0" xfId="0" applyAlignment="1" applyBorder="1" applyFont="1">
      <alignment horizontal="center" shrinkToFit="0" vertical="center" wrapText="1"/>
    </xf>
    <xf borderId="19" fillId="5" fontId="14" numFmtId="0" xfId="0" applyAlignment="1" applyBorder="1" applyFont="1">
      <alignment horizontal="center" shrinkToFit="0" vertical="center" wrapText="1"/>
    </xf>
    <xf borderId="19" fillId="5" fontId="1" numFmtId="0" xfId="0" applyAlignment="1" applyBorder="1" applyFont="1">
      <alignment horizontal="center" vertical="center"/>
    </xf>
    <xf borderId="3" fillId="5" fontId="30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14" fillId="4" fontId="14" numFmtId="0" xfId="0" applyAlignment="1" applyBorder="1" applyFont="1">
      <alignment horizontal="left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vertical="center"/>
    </xf>
    <xf borderId="24" fillId="5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left" vertical="center"/>
    </xf>
    <xf borderId="3" fillId="4" fontId="1" numFmtId="0" xfId="0" applyAlignment="1" applyBorder="1" applyFont="1">
      <alignment horizontal="center" vertical="center"/>
    </xf>
    <xf borderId="1" fillId="4" fontId="3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7" numFmtId="1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6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0" fontId="9" numFmtId="165" xfId="0" applyAlignment="1" applyBorder="1" applyFont="1" applyNumberFormat="1">
      <alignment horizontal="center" vertical="center"/>
    </xf>
    <xf borderId="0" fillId="0" fontId="33" numFmtId="0" xfId="0" applyAlignment="1" applyFont="1">
      <alignment shrinkToFit="0" wrapText="1"/>
    </xf>
    <xf borderId="1" fillId="0" fontId="33" numFmtId="0" xfId="0" applyAlignment="1" applyBorder="1" applyFont="1">
      <alignment shrinkToFit="0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vertical="center"/>
    </xf>
    <xf borderId="1" fillId="4" fontId="14" numFmtId="166" xfId="0" applyAlignment="1" applyBorder="1" applyFont="1" applyNumberFormat="1">
      <alignment horizontal="center" vertical="center"/>
    </xf>
    <xf borderId="1" fillId="4" fontId="14" numFmtId="14" xfId="0" applyAlignment="1" applyBorder="1" applyFont="1" applyNumberForma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4" numFmtId="0" xfId="0" applyAlignment="1" applyBorder="1" applyFont="1">
      <alignment vertical="center"/>
    </xf>
    <xf borderId="1" fillId="0" fontId="35" numFmtId="0" xfId="0" applyAlignment="1" applyBorder="1" applyFont="1">
      <alignment horizontal="center" vertical="center"/>
    </xf>
    <xf borderId="1" fillId="0" fontId="35" numFmtId="0" xfId="0" applyAlignment="1" applyBorder="1" applyFont="1">
      <alignment vertical="center"/>
    </xf>
    <xf borderId="1" fillId="0" fontId="36" numFmtId="0" xfId="0" applyAlignment="1" applyBorder="1" applyFont="1">
      <alignment vertical="center"/>
    </xf>
    <xf borderId="1" fillId="0" fontId="24" numFmtId="0" xfId="0" applyAlignment="1" applyBorder="1" applyFont="1">
      <alignment shrinkToFit="0" vertical="center" wrapText="1"/>
    </xf>
    <xf borderId="1" fillId="0" fontId="14" numFmtId="14" xfId="0" applyAlignment="1" applyBorder="1" applyFont="1" applyNumberFormat="1">
      <alignment horizontal="center" vertical="center"/>
    </xf>
    <xf borderId="1" fillId="0" fontId="37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4" numFmtId="14" xfId="0" applyAlignment="1" applyBorder="1" applyFont="1" applyNumberFormat="1">
      <alignment vertical="center"/>
    </xf>
    <xf borderId="1" fillId="0" fontId="14" numFmtId="0" xfId="0" applyAlignment="1" applyBorder="1" applyFont="1">
      <alignment readingOrder="0" vertical="center"/>
    </xf>
    <xf borderId="1" fillId="0" fontId="14" numFmtId="164" xfId="0" applyAlignment="1" applyBorder="1" applyFont="1" applyNumberFormat="1">
      <alignment vertical="center"/>
    </xf>
    <xf borderId="1" fillId="0" fontId="7" numFmtId="0" xfId="0" applyAlignment="1" applyBorder="1" applyFont="1">
      <alignment vertical="center"/>
    </xf>
    <xf borderId="1" fillId="6" fontId="38" numFmtId="0" xfId="0" applyAlignment="1" applyBorder="1" applyFont="1">
      <alignment vertical="center"/>
    </xf>
    <xf borderId="1" fillId="5" fontId="1" numFmtId="0" xfId="0" applyAlignment="1" applyBorder="1" applyFont="1">
      <alignment vertical="center"/>
    </xf>
    <xf borderId="1" fillId="5" fontId="1" numFmtId="0" xfId="0" applyAlignment="1" applyBorder="1" applyFont="1">
      <alignment shrinkToFit="0" vertical="center" wrapText="1"/>
    </xf>
    <xf borderId="25" fillId="0" fontId="3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vertical="center"/>
    </xf>
    <xf borderId="1" fillId="0" fontId="39" numFmtId="0" xfId="0" applyAlignment="1" applyBorder="1" applyFont="1">
      <alignment horizontal="left" vertical="center"/>
    </xf>
    <xf borderId="26" fillId="0" fontId="40" numFmtId="0" xfId="0" applyBorder="1" applyFont="1"/>
    <xf borderId="1" fillId="5" fontId="41" numFmtId="0" xfId="0" applyAlignment="1" applyBorder="1" applyFont="1">
      <alignment vertical="center"/>
    </xf>
    <xf borderId="1" fillId="5" fontId="9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27" fillId="0" fontId="40" numFmtId="0" xfId="0" applyBorder="1" applyFont="1"/>
    <xf borderId="1" fillId="0" fontId="13" numFmtId="0" xfId="0" applyAlignment="1" applyBorder="1" applyFont="1">
      <alignment readingOrder="0" shrinkToFit="0" wrapText="1"/>
    </xf>
    <xf borderId="1" fillId="4" fontId="42" numFmtId="0" xfId="0" applyBorder="1" applyFont="1"/>
    <xf borderId="1" fillId="0" fontId="42" numFmtId="0" xfId="0" applyAlignment="1" applyBorder="1" applyFont="1">
      <alignment horizontal="center"/>
    </xf>
    <xf borderId="1" fillId="0" fontId="42" numFmtId="0" xfId="0" applyAlignment="1" applyBorder="1" applyFont="1">
      <alignment horizontal="center"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1" fillId="0" fontId="42" numFmtId="0" xfId="0" applyAlignment="1" applyBorder="1" applyFont="1">
      <alignment vertical="bottom"/>
    </xf>
    <xf borderId="0" fillId="0" fontId="1" numFmtId="0" xfId="0" applyAlignment="1" applyFont="1">
      <alignment readingOrder="0" vertical="center"/>
    </xf>
    <xf borderId="1" fillId="4" fontId="42" numFmtId="0" xfId="0" applyAlignment="1" applyBorder="1" applyFont="1">
      <alignment horizontal="center"/>
    </xf>
    <xf borderId="1" fillId="4" fontId="42" numFmtId="0" xfId="0" applyAlignment="1" applyBorder="1" applyFont="1">
      <alignment horizontal="center" vertical="bottom"/>
    </xf>
    <xf borderId="1" fillId="0" fontId="42" numFmtId="0" xfId="0" applyBorder="1" applyFont="1"/>
    <xf borderId="1" fillId="0" fontId="42" numFmtId="0" xfId="0" applyAlignment="1" applyBorder="1" applyFont="1">
      <alignment horizontal="right" vertical="bottom"/>
    </xf>
    <xf borderId="1" fillId="4" fontId="43" numFmtId="0" xfId="0" applyAlignment="1" applyBorder="1" applyFont="1">
      <alignment shrinkToFit="0" vertical="bottom" wrapText="1"/>
    </xf>
    <xf borderId="0" fillId="0" fontId="1" numFmtId="0" xfId="0" applyFont="1"/>
    <xf borderId="28" fillId="4" fontId="42" numFmtId="0" xfId="0" applyAlignment="1" applyBorder="1" applyFont="1">
      <alignment horizontal="center" vertical="bottom"/>
    </xf>
    <xf borderId="1" fillId="4" fontId="42" numFmtId="0" xfId="0" applyAlignment="1" applyBorder="1" applyFont="1">
      <alignment shrinkToFit="0" vertical="bottom" wrapText="0"/>
    </xf>
    <xf borderId="9" fillId="4" fontId="42" numFmtId="0" xfId="0" applyAlignment="1" applyBorder="1" applyFont="1">
      <alignment horizontal="center" vertical="bottom"/>
    </xf>
    <xf borderId="28" fillId="4" fontId="42" numFmtId="0" xfId="0" applyAlignment="1" applyBorder="1" applyFont="1">
      <alignment vertical="bottom"/>
    </xf>
    <xf borderId="1" fillId="4" fontId="43" numFmtId="0" xfId="0" applyAlignment="1" applyBorder="1" applyFont="1">
      <alignment shrinkToFit="0" wrapText="1"/>
    </xf>
    <xf borderId="7" fillId="4" fontId="42" numFmtId="0" xfId="0" applyAlignment="1" applyBorder="1" applyFont="1">
      <alignment horizontal="center"/>
    </xf>
    <xf borderId="1" fillId="4" fontId="42" numFmtId="0" xfId="0" applyAlignment="1" applyBorder="1" applyFont="1">
      <alignment shrinkToFit="0" wrapText="0"/>
    </xf>
    <xf borderId="28" fillId="4" fontId="42" numFmtId="0" xfId="0" applyBorder="1" applyFont="1"/>
    <xf borderId="7" fillId="4" fontId="42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44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arollsantos213@gmail.com" TargetMode="External"/><Relationship Id="rId42" Type="http://schemas.openxmlformats.org/officeDocument/2006/relationships/hyperlink" Target="mailto:mmeduarda985@gmail.com" TargetMode="External"/><Relationship Id="rId41" Type="http://schemas.openxmlformats.org/officeDocument/2006/relationships/hyperlink" Target="mailto:karinbeatriz@outlook.com" TargetMode="External"/><Relationship Id="rId44" Type="http://schemas.openxmlformats.org/officeDocument/2006/relationships/hyperlink" Target="mailto:caiogeisa1020@gmail.com" TargetMode="External"/><Relationship Id="rId43" Type="http://schemas.openxmlformats.org/officeDocument/2006/relationships/hyperlink" Target="mailto:guigahand@gmail.com" TargetMode="External"/><Relationship Id="rId46" Type="http://schemas.openxmlformats.org/officeDocument/2006/relationships/hyperlink" Target="mailto:anaviick032706@gmail.com" TargetMode="External"/><Relationship Id="rId45" Type="http://schemas.openxmlformats.org/officeDocument/2006/relationships/hyperlink" Target="mailto:ana.paula.ufba13@gmail.com" TargetMode="External"/><Relationship Id="rId107" Type="http://schemas.openxmlformats.org/officeDocument/2006/relationships/hyperlink" Target="mailto:mariathainamaria@gmail.com" TargetMode="External"/><Relationship Id="rId106" Type="http://schemas.openxmlformats.org/officeDocument/2006/relationships/hyperlink" Target="mailto:ranapires0312@gmail.com" TargetMode="External"/><Relationship Id="rId105" Type="http://schemas.openxmlformats.org/officeDocument/2006/relationships/hyperlink" Target="mailto:isabelemcd@hotmail.com" TargetMode="External"/><Relationship Id="rId104" Type="http://schemas.openxmlformats.org/officeDocument/2006/relationships/hyperlink" Target="mailto:gabrielletereza@gmail.com" TargetMode="External"/><Relationship Id="rId109" Type="http://schemas.openxmlformats.org/officeDocument/2006/relationships/hyperlink" Target="mailto:hcauan1034@gmail.com" TargetMode="External"/><Relationship Id="rId108" Type="http://schemas.openxmlformats.org/officeDocument/2006/relationships/hyperlink" Target="mailto:tete21617@gmail.com" TargetMode="External"/><Relationship Id="rId48" Type="http://schemas.openxmlformats.org/officeDocument/2006/relationships/hyperlink" Target="mailto:gabinhasantos496@gmail.com" TargetMode="External"/><Relationship Id="rId47" Type="http://schemas.openxmlformats.org/officeDocument/2006/relationships/hyperlink" Target="mailto:gabrielagaliza23@gmail.com" TargetMode="External"/><Relationship Id="rId49" Type="http://schemas.openxmlformats.org/officeDocument/2006/relationships/hyperlink" Target="mailto:armysbarbosa@gmail.com" TargetMode="External"/><Relationship Id="rId103" Type="http://schemas.openxmlformats.org/officeDocument/2006/relationships/hyperlink" Target="mailto:marcelylivia@gmail.com" TargetMode="External"/><Relationship Id="rId102" Type="http://schemas.openxmlformats.org/officeDocument/2006/relationships/hyperlink" Target="mailto:victorianasdossantos11@gmail.com" TargetMode="External"/><Relationship Id="rId101" Type="http://schemas.openxmlformats.org/officeDocument/2006/relationships/hyperlink" Target="mailto:sammy.quelyros18@gmail.com" TargetMode="External"/><Relationship Id="rId100" Type="http://schemas.openxmlformats.org/officeDocument/2006/relationships/hyperlink" Target="mailto:agic1726@gmail.com" TargetMode="External"/><Relationship Id="rId31" Type="http://schemas.openxmlformats.org/officeDocument/2006/relationships/hyperlink" Target="mailto:adrbahia1977@gmail.com" TargetMode="External"/><Relationship Id="rId30" Type="http://schemas.openxmlformats.org/officeDocument/2006/relationships/hyperlink" Target="mailto:biancacar2019@gmail.com" TargetMode="External"/><Relationship Id="rId33" Type="http://schemas.openxmlformats.org/officeDocument/2006/relationships/hyperlink" Target="mailto:mariaisabelbonfim987@gmail.com" TargetMode="External"/><Relationship Id="rId32" Type="http://schemas.openxmlformats.org/officeDocument/2006/relationships/hyperlink" Target="mailto:rizia213@gmail.com" TargetMode="External"/><Relationship Id="rId35" Type="http://schemas.openxmlformats.org/officeDocument/2006/relationships/hyperlink" Target="mailto:victorianasdossantos11@gmail.com" TargetMode="External"/><Relationship Id="rId34" Type="http://schemas.openxmlformats.org/officeDocument/2006/relationships/hyperlink" Target="mailto:santossilvar830@gmail.com" TargetMode="External"/><Relationship Id="rId37" Type="http://schemas.openxmlformats.org/officeDocument/2006/relationships/hyperlink" Target="mailto:gabrielletereza@gmail.com" TargetMode="External"/><Relationship Id="rId36" Type="http://schemas.openxmlformats.org/officeDocument/2006/relationships/hyperlink" Target="mailto:rafaelaquinodasilva10@gmail.com.br" TargetMode="External"/><Relationship Id="rId39" Type="http://schemas.openxmlformats.org/officeDocument/2006/relationships/hyperlink" Target="mailto:mariathainamaria@gmail.com" TargetMode="External"/><Relationship Id="rId38" Type="http://schemas.openxmlformats.org/officeDocument/2006/relationships/hyperlink" Target="mailto:isabelemcd@hotmail.com" TargetMode="External"/><Relationship Id="rId20" Type="http://schemas.openxmlformats.org/officeDocument/2006/relationships/hyperlink" Target="mailto:guigahand@gmail.com" TargetMode="External"/><Relationship Id="rId22" Type="http://schemas.openxmlformats.org/officeDocument/2006/relationships/hyperlink" Target="mailto:anaviick032706@gmail.com" TargetMode="External"/><Relationship Id="rId21" Type="http://schemas.openxmlformats.org/officeDocument/2006/relationships/hyperlink" Target="mailto:ana.paula.ufba13@gmail.com" TargetMode="External"/><Relationship Id="rId24" Type="http://schemas.openxmlformats.org/officeDocument/2006/relationships/hyperlink" Target="mailto:gabinhasantos496@gmail.com" TargetMode="External"/><Relationship Id="rId23" Type="http://schemas.openxmlformats.org/officeDocument/2006/relationships/hyperlink" Target="mailto:gabrielagaliza23@gmail.com" TargetMode="External"/><Relationship Id="rId26" Type="http://schemas.openxmlformats.org/officeDocument/2006/relationships/hyperlink" Target="mailto:luanadasilva1230@gmail.com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mailto:armysbarbosa@gmail.com" TargetMode="External"/><Relationship Id="rId120" Type="http://schemas.openxmlformats.org/officeDocument/2006/relationships/hyperlink" Target="mailto:yasminsantana.cdnaep@gmail.com" TargetMode="External"/><Relationship Id="rId28" Type="http://schemas.openxmlformats.org/officeDocument/2006/relationships/hyperlink" Target="mailto:biaxianz@gmail.com" TargetMode="External"/><Relationship Id="rId27" Type="http://schemas.openxmlformats.org/officeDocument/2006/relationships/hyperlink" Target="mailto:amandaborgess100@gmail.com" TargetMode="External"/><Relationship Id="rId29" Type="http://schemas.openxmlformats.org/officeDocument/2006/relationships/hyperlink" Target="mailto:maria071625@gmail.com" TargetMode="External"/><Relationship Id="rId95" Type="http://schemas.openxmlformats.org/officeDocument/2006/relationships/hyperlink" Target="mailto:lisnaanne08@gmail.com" TargetMode="External"/><Relationship Id="rId94" Type="http://schemas.openxmlformats.org/officeDocument/2006/relationships/hyperlink" Target="mailto:alanesarmento06@gmail.com" TargetMode="External"/><Relationship Id="rId97" Type="http://schemas.openxmlformats.org/officeDocument/2006/relationships/hyperlink" Target="mailto:nbrazill@gmail.com" TargetMode="External"/><Relationship Id="rId96" Type="http://schemas.openxmlformats.org/officeDocument/2006/relationships/hyperlink" Target="mailto:adrbahia1977@gmail.com" TargetMode="External"/><Relationship Id="rId11" Type="http://schemas.openxmlformats.org/officeDocument/2006/relationships/hyperlink" Target="mailto:mariaisabelbonfim987@gmail.com" TargetMode="External"/><Relationship Id="rId99" Type="http://schemas.openxmlformats.org/officeDocument/2006/relationships/hyperlink" Target="mailto:amandaoliveira006@outlook.com" TargetMode="External"/><Relationship Id="rId10" Type="http://schemas.openxmlformats.org/officeDocument/2006/relationships/hyperlink" Target="mailto:rizia213@gmail.com" TargetMode="External"/><Relationship Id="rId98" Type="http://schemas.openxmlformats.org/officeDocument/2006/relationships/hyperlink" Target="mailto:cris.isa.ps@gmail.com" TargetMode="External"/><Relationship Id="rId13" Type="http://schemas.openxmlformats.org/officeDocument/2006/relationships/hyperlink" Target="mailto:victorianasdossantos11@gmail.com" TargetMode="External"/><Relationship Id="rId12" Type="http://schemas.openxmlformats.org/officeDocument/2006/relationships/hyperlink" Target="mailto:santossilvar830@gmail.com" TargetMode="External"/><Relationship Id="rId91" Type="http://schemas.openxmlformats.org/officeDocument/2006/relationships/hyperlink" Target="mailto:maria071625@gmail.com" TargetMode="External"/><Relationship Id="rId90" Type="http://schemas.openxmlformats.org/officeDocument/2006/relationships/hyperlink" Target="mailto:biaxianz@GMAIL.COM" TargetMode="External"/><Relationship Id="rId93" Type="http://schemas.openxmlformats.org/officeDocument/2006/relationships/hyperlink" Target="mailto:ana234qecarol@gmail.com" TargetMode="External"/><Relationship Id="rId92" Type="http://schemas.openxmlformats.org/officeDocument/2006/relationships/hyperlink" Target="mailto:snicksmatos@gmail.com" TargetMode="External"/><Relationship Id="rId118" Type="http://schemas.openxmlformats.org/officeDocument/2006/relationships/hyperlink" Target="mailto:julianamoraisnascimento285@gmail.com" TargetMode="External"/><Relationship Id="rId117" Type="http://schemas.openxmlformats.org/officeDocument/2006/relationships/hyperlink" Target="mailto:juliaamendes1@gmail.com" TargetMode="External"/><Relationship Id="rId116" Type="http://schemas.openxmlformats.org/officeDocument/2006/relationships/hyperlink" Target="mailto:fn5527@gmail.com" TargetMode="External"/><Relationship Id="rId115" Type="http://schemas.openxmlformats.org/officeDocument/2006/relationships/hyperlink" Target="mailto:menezescaua7@gmail.com" TargetMode="External"/><Relationship Id="rId119" Type="http://schemas.openxmlformats.org/officeDocument/2006/relationships/hyperlink" Target="mailto:julyanna1215@gmail.com" TargetMode="External"/><Relationship Id="rId15" Type="http://schemas.openxmlformats.org/officeDocument/2006/relationships/hyperlink" Target="mailto:isabelemcd@hotmail.com" TargetMode="External"/><Relationship Id="rId110" Type="http://schemas.openxmlformats.org/officeDocument/2006/relationships/hyperlink" Target="mailto:demetrioussilva@gmail.com" TargetMode="External"/><Relationship Id="rId14" Type="http://schemas.openxmlformats.org/officeDocument/2006/relationships/hyperlink" Target="mailto:gabrielletereza@gmail.com" TargetMode="External"/><Relationship Id="rId17" Type="http://schemas.openxmlformats.org/officeDocument/2006/relationships/hyperlink" Target="mailto:carollsantos213@gmail.com" TargetMode="External"/><Relationship Id="rId16" Type="http://schemas.openxmlformats.org/officeDocument/2006/relationships/hyperlink" Target="mailto:mariathainamaria@gmail.com" TargetMode="External"/><Relationship Id="rId19" Type="http://schemas.openxmlformats.org/officeDocument/2006/relationships/hyperlink" Target="mailto:mmeduarda985@gmail.com" TargetMode="External"/><Relationship Id="rId114" Type="http://schemas.openxmlformats.org/officeDocument/2006/relationships/hyperlink" Target="mailto:lakitasy@gmail.com" TargetMode="External"/><Relationship Id="rId18" Type="http://schemas.openxmlformats.org/officeDocument/2006/relationships/hyperlink" Target="mailto:karinbeatriz@outlook.com" TargetMode="External"/><Relationship Id="rId113" Type="http://schemas.openxmlformats.org/officeDocument/2006/relationships/hyperlink" Target="http://gabriellyemilly5092gmail.com/" TargetMode="External"/><Relationship Id="rId112" Type="http://schemas.openxmlformats.org/officeDocument/2006/relationships/hyperlink" Target="mailto:guigahand@gmail.com" TargetMode="External"/><Relationship Id="rId111" Type="http://schemas.openxmlformats.org/officeDocument/2006/relationships/hyperlink" Target="mailto:alexnaldo.silva@gmail.com" TargetMode="External"/><Relationship Id="rId84" Type="http://schemas.openxmlformats.org/officeDocument/2006/relationships/hyperlink" Target="mailto:motadavi283@gmail.com" TargetMode="External"/><Relationship Id="rId83" Type="http://schemas.openxmlformats.org/officeDocument/2006/relationships/hyperlink" Target="mailto:anaviick032706@gmail.com" TargetMode="External"/><Relationship Id="rId86" Type="http://schemas.openxmlformats.org/officeDocument/2006/relationships/hyperlink" Target="mailto:andrey.pinto2@aluno.enova.educacao.ba.gov.br" TargetMode="External"/><Relationship Id="rId85" Type="http://schemas.openxmlformats.org/officeDocument/2006/relationships/hyperlink" Target="mailto:biancaellen73@gmail.com" TargetMode="External"/><Relationship Id="rId88" Type="http://schemas.openxmlformats.org/officeDocument/2006/relationships/hyperlink" Target="mailto:gabinhasantos496@gmail.com" TargetMode="External"/><Relationship Id="rId87" Type="http://schemas.openxmlformats.org/officeDocument/2006/relationships/hyperlink" Target="mailto:bmarianne2020@gmail.com" TargetMode="External"/><Relationship Id="rId89" Type="http://schemas.openxmlformats.org/officeDocument/2006/relationships/hyperlink" Target="mailto:amandaborgess100@gmail.com" TargetMode="External"/><Relationship Id="rId80" Type="http://schemas.openxmlformats.org/officeDocument/2006/relationships/hyperlink" Target="http://solangefrancisco0082gmail.com/" TargetMode="External"/><Relationship Id="rId82" Type="http://schemas.openxmlformats.org/officeDocument/2006/relationships/hyperlink" Target="mailto:ana.paula.ufba13@gmail.com" TargetMode="External"/><Relationship Id="rId81" Type="http://schemas.openxmlformats.org/officeDocument/2006/relationships/hyperlink" Target="mailto:lakitasy@gmail.com" TargetMode="External"/><Relationship Id="rId1" Type="http://schemas.openxmlformats.org/officeDocument/2006/relationships/hyperlink" Target="mailto:ana.paula.ufba13@gmail.com" TargetMode="External"/><Relationship Id="rId2" Type="http://schemas.openxmlformats.org/officeDocument/2006/relationships/hyperlink" Target="mailto:anaviick032706@gmail.com" TargetMode="External"/><Relationship Id="rId3" Type="http://schemas.openxmlformats.org/officeDocument/2006/relationships/hyperlink" Target="mailto:gabrielagaliza23@gmail.com" TargetMode="External"/><Relationship Id="rId4" Type="http://schemas.openxmlformats.org/officeDocument/2006/relationships/hyperlink" Target="mailto:gabinhasantos496@gmail.com" TargetMode="External"/><Relationship Id="rId9" Type="http://schemas.openxmlformats.org/officeDocument/2006/relationships/hyperlink" Target="mailto:maria071625@gmail.com" TargetMode="External"/><Relationship Id="rId5" Type="http://schemas.openxmlformats.org/officeDocument/2006/relationships/hyperlink" Target="mailto:armysbarbosa@gmail.com" TargetMode="External"/><Relationship Id="rId6" Type="http://schemas.openxmlformats.org/officeDocument/2006/relationships/hyperlink" Target="mailto:luanadasilva1230@gmail.com" TargetMode="External"/><Relationship Id="rId7" Type="http://schemas.openxmlformats.org/officeDocument/2006/relationships/hyperlink" Target="mailto:amandaborgess100@gmail.com" TargetMode="External"/><Relationship Id="rId8" Type="http://schemas.openxmlformats.org/officeDocument/2006/relationships/hyperlink" Target="mailto:biaxianz@gmail.com" TargetMode="External"/><Relationship Id="rId73" Type="http://schemas.openxmlformats.org/officeDocument/2006/relationships/hyperlink" Target="mailto:mariathainamaria@gmail.com" TargetMode="External"/><Relationship Id="rId72" Type="http://schemas.openxmlformats.org/officeDocument/2006/relationships/hyperlink" Target="mailto:ranapires0312@gmail.com" TargetMode="External"/><Relationship Id="rId75" Type="http://schemas.openxmlformats.org/officeDocument/2006/relationships/hyperlink" Target="mailto:karinbeatriz@outlook.com" TargetMode="External"/><Relationship Id="rId74" Type="http://schemas.openxmlformats.org/officeDocument/2006/relationships/hyperlink" Target="mailto:carollsantos213@gmail.com" TargetMode="External"/><Relationship Id="rId77" Type="http://schemas.openxmlformats.org/officeDocument/2006/relationships/hyperlink" Target="mailto:caiogeisa1020@gmail.com" TargetMode="External"/><Relationship Id="rId76" Type="http://schemas.openxmlformats.org/officeDocument/2006/relationships/hyperlink" Target="mailto:mmeduarda985@gmail.com" TargetMode="External"/><Relationship Id="rId79" Type="http://schemas.openxmlformats.org/officeDocument/2006/relationships/hyperlink" Target="mailto:alexnaldo.silva@gmail.com" TargetMode="External"/><Relationship Id="rId78" Type="http://schemas.openxmlformats.org/officeDocument/2006/relationships/hyperlink" Target="mailto:demetrioussilva@gmail.com" TargetMode="External"/><Relationship Id="rId71" Type="http://schemas.openxmlformats.org/officeDocument/2006/relationships/hyperlink" Target="mailto:isabelemcd@hotmail.com" TargetMode="External"/><Relationship Id="rId70" Type="http://schemas.openxmlformats.org/officeDocument/2006/relationships/hyperlink" Target="mailto:gabrielletereza@gmail.com" TargetMode="External"/><Relationship Id="rId62" Type="http://schemas.openxmlformats.org/officeDocument/2006/relationships/hyperlink" Target="mailto:rizia213@gmail.com" TargetMode="External"/><Relationship Id="rId61" Type="http://schemas.openxmlformats.org/officeDocument/2006/relationships/hyperlink" Target="mailto:nbrazill@gmail.com" TargetMode="External"/><Relationship Id="rId64" Type="http://schemas.openxmlformats.org/officeDocument/2006/relationships/hyperlink" Target="mailto:mariaisabelbonfim987@gmail.com" TargetMode="External"/><Relationship Id="rId63" Type="http://schemas.openxmlformats.org/officeDocument/2006/relationships/hyperlink" Target="mailto:amandaoliveira006@outlook.com" TargetMode="External"/><Relationship Id="rId66" Type="http://schemas.openxmlformats.org/officeDocument/2006/relationships/hyperlink" Target="mailto:santossilvar830@gmail.com" TargetMode="External"/><Relationship Id="rId65" Type="http://schemas.openxmlformats.org/officeDocument/2006/relationships/hyperlink" Target="mailto:sammy.quelyros18@gmail.com" TargetMode="External"/><Relationship Id="rId68" Type="http://schemas.openxmlformats.org/officeDocument/2006/relationships/hyperlink" Target="mailto:fn5527@gmail.com" TargetMode="External"/><Relationship Id="rId67" Type="http://schemas.openxmlformats.org/officeDocument/2006/relationships/hyperlink" Target="mailto:victorianasdossantos11@gmail.com" TargetMode="External"/><Relationship Id="rId60" Type="http://schemas.openxmlformats.org/officeDocument/2006/relationships/hyperlink" Target="mailto:adrbahia1977@gmail.com" TargetMode="External"/><Relationship Id="rId69" Type="http://schemas.openxmlformats.org/officeDocument/2006/relationships/hyperlink" Target="mailto:agic1726@gmail.com" TargetMode="External"/><Relationship Id="rId51" Type="http://schemas.openxmlformats.org/officeDocument/2006/relationships/hyperlink" Target="mailto:biancaellen73@gmail.com" TargetMode="External"/><Relationship Id="rId50" Type="http://schemas.openxmlformats.org/officeDocument/2006/relationships/hyperlink" Target="mailto:andrey.pinto2@aluno.enova.educacao.ba.gov.br" TargetMode="External"/><Relationship Id="rId53" Type="http://schemas.openxmlformats.org/officeDocument/2006/relationships/hyperlink" Target="mailto:amandaborgess100@gmail.com" TargetMode="External"/><Relationship Id="rId52" Type="http://schemas.openxmlformats.org/officeDocument/2006/relationships/hyperlink" Target="mailto:luanadasilva1230@gmail.com" TargetMode="External"/><Relationship Id="rId55" Type="http://schemas.openxmlformats.org/officeDocument/2006/relationships/hyperlink" Target="mailto:maria071625@gmail.com" TargetMode="External"/><Relationship Id="rId54" Type="http://schemas.openxmlformats.org/officeDocument/2006/relationships/hyperlink" Target="mailto:biaxianz@gmail.com" TargetMode="External"/><Relationship Id="rId57" Type="http://schemas.openxmlformats.org/officeDocument/2006/relationships/hyperlink" Target="mailto:ana234qecarol@gmail.com" TargetMode="External"/><Relationship Id="rId56" Type="http://schemas.openxmlformats.org/officeDocument/2006/relationships/hyperlink" Target="mailto:snicksmatos@gmail.com" TargetMode="External"/><Relationship Id="rId59" Type="http://schemas.openxmlformats.org/officeDocument/2006/relationships/hyperlink" Target="mailto:lisnaanne08@gmail.com" TargetMode="External"/><Relationship Id="rId58" Type="http://schemas.openxmlformats.org/officeDocument/2006/relationships/hyperlink" Target="mailto:alanesarmento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.75"/>
    <col customWidth="1" min="4" max="4" width="29.88"/>
    <col customWidth="1" min="5" max="5" width="10.25"/>
    <col customWidth="1" min="6" max="7" width="12.63"/>
    <col customWidth="1" min="18" max="18" width="23.88"/>
    <col customWidth="1" min="26" max="26" width="13.7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6" t="s">
        <v>8</v>
      </c>
      <c r="Z1" s="4" t="s">
        <v>24</v>
      </c>
      <c r="AA1" s="4" t="s">
        <v>25</v>
      </c>
      <c r="AB1" s="4" t="s">
        <v>26</v>
      </c>
      <c r="AC1" s="4" t="s">
        <v>27</v>
      </c>
      <c r="AD1" s="7" t="s">
        <v>28</v>
      </c>
      <c r="AE1" s="8" t="s">
        <v>29</v>
      </c>
      <c r="AF1" s="8" t="s">
        <v>30</v>
      </c>
    </row>
    <row r="2" ht="15.75" customHeight="1">
      <c r="A2" s="9">
        <v>2019.0</v>
      </c>
      <c r="B2" s="10" t="s">
        <v>31</v>
      </c>
      <c r="C2" s="11"/>
      <c r="D2" s="12" t="s">
        <v>32</v>
      </c>
      <c r="E2" s="13" t="s">
        <v>33</v>
      </c>
      <c r="F2" s="13" t="s">
        <v>34</v>
      </c>
      <c r="G2" s="13">
        <f>2019-2005</f>
        <v>14</v>
      </c>
      <c r="H2" s="13" t="s">
        <v>35</v>
      </c>
      <c r="I2" s="14" t="s">
        <v>36</v>
      </c>
      <c r="J2" s="13" t="s">
        <v>37</v>
      </c>
      <c r="K2" s="13" t="s">
        <v>38</v>
      </c>
      <c r="L2" s="13" t="s">
        <v>39</v>
      </c>
      <c r="M2" s="13"/>
      <c r="N2" s="13" t="s">
        <v>40</v>
      </c>
      <c r="O2" s="13" t="s">
        <v>41</v>
      </c>
      <c r="P2" s="13" t="s">
        <v>42</v>
      </c>
      <c r="Q2" s="13" t="s">
        <v>43</v>
      </c>
      <c r="R2" s="15" t="s">
        <v>44</v>
      </c>
      <c r="S2" s="13" t="s">
        <v>45</v>
      </c>
      <c r="T2" s="16" t="s">
        <v>46</v>
      </c>
      <c r="U2" s="13" t="s">
        <v>47</v>
      </c>
      <c r="V2" s="13" t="s">
        <v>48</v>
      </c>
      <c r="W2" s="13" t="s">
        <v>49</v>
      </c>
      <c r="X2" s="13" t="s">
        <v>50</v>
      </c>
      <c r="Y2" s="14" t="s">
        <v>36</v>
      </c>
      <c r="Z2" s="13" t="s">
        <v>51</v>
      </c>
      <c r="AA2" s="13"/>
      <c r="AB2" s="13" t="s">
        <v>52</v>
      </c>
      <c r="AC2" s="13"/>
      <c r="AD2" s="17" t="s">
        <v>53</v>
      </c>
      <c r="AE2" s="18" t="s">
        <v>54</v>
      </c>
      <c r="AF2" s="19" t="s">
        <v>55</v>
      </c>
    </row>
    <row r="3" ht="15.75" customHeight="1">
      <c r="A3" s="9">
        <v>2019.0</v>
      </c>
      <c r="B3" s="10" t="s">
        <v>31</v>
      </c>
      <c r="C3" s="11"/>
      <c r="D3" s="12" t="s">
        <v>56</v>
      </c>
      <c r="E3" s="13" t="s">
        <v>33</v>
      </c>
      <c r="F3" s="20" t="s">
        <v>57</v>
      </c>
      <c r="G3" s="20">
        <v>13.0</v>
      </c>
      <c r="H3" s="20" t="s">
        <v>35</v>
      </c>
      <c r="I3" s="21" t="s">
        <v>36</v>
      </c>
      <c r="J3" s="20" t="s">
        <v>37</v>
      </c>
      <c r="K3" s="20" t="s">
        <v>38</v>
      </c>
      <c r="L3" s="20" t="s">
        <v>39</v>
      </c>
      <c r="M3" s="20" t="s">
        <v>58</v>
      </c>
      <c r="N3" s="20" t="s">
        <v>59</v>
      </c>
      <c r="O3" s="20" t="s">
        <v>60</v>
      </c>
      <c r="P3" s="20" t="s">
        <v>42</v>
      </c>
      <c r="Q3" s="20" t="s">
        <v>61</v>
      </c>
      <c r="R3" s="22" t="s">
        <v>62</v>
      </c>
      <c r="S3" s="20" t="s">
        <v>63</v>
      </c>
      <c r="T3" s="23" t="s">
        <v>64</v>
      </c>
      <c r="U3" s="20" t="s">
        <v>65</v>
      </c>
      <c r="V3" s="24" t="s">
        <v>66</v>
      </c>
      <c r="W3" s="20" t="s">
        <v>67</v>
      </c>
      <c r="X3" s="20" t="s">
        <v>35</v>
      </c>
      <c r="Y3" s="21" t="s">
        <v>36</v>
      </c>
      <c r="Z3" s="24" t="s">
        <v>68</v>
      </c>
      <c r="AA3" s="20" t="s">
        <v>69</v>
      </c>
      <c r="AB3" s="24" t="s">
        <v>69</v>
      </c>
      <c r="AC3" s="24"/>
      <c r="AD3" s="25" t="s">
        <v>70</v>
      </c>
      <c r="AE3" s="26" t="s">
        <v>71</v>
      </c>
      <c r="AF3" s="27" t="s">
        <v>72</v>
      </c>
    </row>
    <row r="4" ht="15.75" customHeight="1">
      <c r="A4" s="9">
        <v>2019.0</v>
      </c>
      <c r="B4" s="10" t="s">
        <v>31</v>
      </c>
      <c r="C4" s="11"/>
      <c r="D4" s="28" t="s">
        <v>73</v>
      </c>
      <c r="E4" s="20" t="s">
        <v>74</v>
      </c>
      <c r="F4" s="20" t="s">
        <v>75</v>
      </c>
      <c r="G4" s="20">
        <v>14.0</v>
      </c>
      <c r="H4" s="20" t="s">
        <v>35</v>
      </c>
      <c r="I4" s="21" t="s">
        <v>36</v>
      </c>
      <c r="J4" s="20" t="s">
        <v>37</v>
      </c>
      <c r="K4" s="20" t="s">
        <v>38</v>
      </c>
      <c r="L4" s="20" t="s">
        <v>39</v>
      </c>
      <c r="M4" s="20" t="s">
        <v>76</v>
      </c>
      <c r="N4" s="20" t="s">
        <v>77</v>
      </c>
      <c r="O4" s="20" t="s">
        <v>78</v>
      </c>
      <c r="P4" s="20" t="s">
        <v>42</v>
      </c>
      <c r="Q4" s="20" t="s">
        <v>79</v>
      </c>
      <c r="R4" s="22" t="s">
        <v>80</v>
      </c>
      <c r="S4" s="20" t="s">
        <v>81</v>
      </c>
      <c r="T4" s="23" t="s">
        <v>82</v>
      </c>
      <c r="U4" s="20" t="s">
        <v>83</v>
      </c>
      <c r="V4" s="24" t="s">
        <v>84</v>
      </c>
      <c r="W4" s="20" t="s">
        <v>85</v>
      </c>
      <c r="X4" s="20" t="s">
        <v>35</v>
      </c>
      <c r="Y4" s="21" t="s">
        <v>36</v>
      </c>
      <c r="Z4" s="24" t="s">
        <v>86</v>
      </c>
      <c r="AA4" s="20"/>
      <c r="AB4" s="24" t="s">
        <v>87</v>
      </c>
      <c r="AC4" s="24"/>
      <c r="AD4" s="17" t="s">
        <v>88</v>
      </c>
      <c r="AE4" s="18" t="s">
        <v>54</v>
      </c>
      <c r="AF4" s="19" t="s">
        <v>89</v>
      </c>
    </row>
    <row r="5" ht="15.75" customHeight="1">
      <c r="A5" s="9">
        <v>2019.0</v>
      </c>
      <c r="B5" s="10" t="s">
        <v>31</v>
      </c>
      <c r="C5" s="11"/>
      <c r="D5" s="12" t="s">
        <v>90</v>
      </c>
      <c r="E5" s="20" t="s">
        <v>33</v>
      </c>
      <c r="F5" s="20" t="s">
        <v>34</v>
      </c>
      <c r="G5" s="20">
        <v>14.0</v>
      </c>
      <c r="H5" s="20" t="s">
        <v>35</v>
      </c>
      <c r="I5" s="21" t="s">
        <v>36</v>
      </c>
      <c r="J5" s="20" t="s">
        <v>37</v>
      </c>
      <c r="K5" s="20" t="s">
        <v>38</v>
      </c>
      <c r="L5" s="20" t="s">
        <v>39</v>
      </c>
      <c r="M5" s="20"/>
      <c r="N5" s="20" t="s">
        <v>91</v>
      </c>
      <c r="O5" s="20" t="s">
        <v>92</v>
      </c>
      <c r="P5" s="20" t="s">
        <v>42</v>
      </c>
      <c r="Q5" s="20" t="s">
        <v>93</v>
      </c>
      <c r="R5" s="22" t="s">
        <v>44</v>
      </c>
      <c r="S5" s="20" t="s">
        <v>45</v>
      </c>
      <c r="T5" s="23" t="s">
        <v>94</v>
      </c>
      <c r="U5" s="20" t="s">
        <v>95</v>
      </c>
      <c r="V5" s="24" t="s">
        <v>48</v>
      </c>
      <c r="W5" s="13" t="s">
        <v>49</v>
      </c>
      <c r="X5" s="20" t="s">
        <v>35</v>
      </c>
      <c r="Y5" s="21" t="s">
        <v>36</v>
      </c>
      <c r="Z5" s="24" t="str">
        <f>#REF!</f>
        <v>#REF!</v>
      </c>
      <c r="AA5" s="20"/>
      <c r="AB5" s="24" t="s">
        <v>96</v>
      </c>
      <c r="AC5" s="24"/>
      <c r="AD5" s="25" t="s">
        <v>97</v>
      </c>
      <c r="AE5" s="26" t="s">
        <v>54</v>
      </c>
      <c r="AF5" s="27" t="s">
        <v>98</v>
      </c>
    </row>
    <row r="6" ht="15.75" customHeight="1">
      <c r="A6" s="9">
        <v>2019.0</v>
      </c>
      <c r="B6" s="10" t="s">
        <v>31</v>
      </c>
      <c r="C6" s="11"/>
      <c r="D6" s="28" t="s">
        <v>99</v>
      </c>
      <c r="E6" s="29" t="s">
        <v>100</v>
      </c>
      <c r="F6" s="20" t="s">
        <v>101</v>
      </c>
      <c r="G6" s="20">
        <v>13.0</v>
      </c>
      <c r="H6" s="20" t="s">
        <v>102</v>
      </c>
      <c r="I6" s="21" t="s">
        <v>36</v>
      </c>
      <c r="J6" s="20" t="s">
        <v>37</v>
      </c>
      <c r="K6" s="20" t="s">
        <v>38</v>
      </c>
      <c r="L6" s="20" t="s">
        <v>39</v>
      </c>
      <c r="M6" s="20" t="s">
        <v>76</v>
      </c>
      <c r="N6" s="20" t="s">
        <v>103</v>
      </c>
      <c r="O6" s="20" t="s">
        <v>104</v>
      </c>
      <c r="P6" s="20" t="s">
        <v>42</v>
      </c>
      <c r="Q6" s="20" t="s">
        <v>105</v>
      </c>
      <c r="R6" s="22" t="s">
        <v>106</v>
      </c>
      <c r="S6" s="20" t="s">
        <v>107</v>
      </c>
      <c r="T6" s="23" t="s">
        <v>108</v>
      </c>
      <c r="U6" s="20" t="s">
        <v>109</v>
      </c>
      <c r="V6" s="24" t="s">
        <v>48</v>
      </c>
      <c r="W6" s="20" t="s">
        <v>110</v>
      </c>
      <c r="X6" s="20" t="s">
        <v>35</v>
      </c>
      <c r="Y6" s="21" t="s">
        <v>36</v>
      </c>
      <c r="Z6" s="20" t="s">
        <v>111</v>
      </c>
      <c r="AA6" s="20"/>
      <c r="AB6" s="24" t="s">
        <v>112</v>
      </c>
      <c r="AC6" s="24"/>
      <c r="AD6" s="17" t="s">
        <v>113</v>
      </c>
      <c r="AE6" s="18" t="s">
        <v>54</v>
      </c>
      <c r="AF6" s="19" t="s">
        <v>114</v>
      </c>
    </row>
    <row r="7" ht="15.75" customHeight="1">
      <c r="A7" s="9">
        <v>2019.0</v>
      </c>
      <c r="B7" s="10" t="s">
        <v>31</v>
      </c>
      <c r="C7" s="11"/>
      <c r="D7" s="28" t="s">
        <v>115</v>
      </c>
      <c r="E7" s="29" t="s">
        <v>100</v>
      </c>
      <c r="F7" s="20" t="s">
        <v>116</v>
      </c>
      <c r="G7" s="20">
        <v>14.0</v>
      </c>
      <c r="H7" s="20" t="s">
        <v>35</v>
      </c>
      <c r="I7" s="21" t="s">
        <v>36</v>
      </c>
      <c r="J7" s="20" t="s">
        <v>37</v>
      </c>
      <c r="K7" s="20" t="s">
        <v>38</v>
      </c>
      <c r="L7" s="20" t="s">
        <v>39</v>
      </c>
      <c r="M7" s="20" t="s">
        <v>117</v>
      </c>
      <c r="N7" s="20" t="s">
        <v>118</v>
      </c>
      <c r="O7" s="20" t="s">
        <v>119</v>
      </c>
      <c r="P7" s="20" t="s">
        <v>42</v>
      </c>
      <c r="Q7" s="20" t="s">
        <v>120</v>
      </c>
      <c r="R7" s="22" t="s">
        <v>121</v>
      </c>
      <c r="S7" s="20" t="s">
        <v>122</v>
      </c>
      <c r="T7" s="23" t="s">
        <v>123</v>
      </c>
      <c r="U7" s="20" t="s">
        <v>124</v>
      </c>
      <c r="V7" s="24" t="s">
        <v>48</v>
      </c>
      <c r="W7" s="20" t="s">
        <v>125</v>
      </c>
      <c r="X7" s="20" t="s">
        <v>35</v>
      </c>
      <c r="Y7" s="21" t="s">
        <v>36</v>
      </c>
      <c r="Z7" s="20" t="s">
        <v>126</v>
      </c>
      <c r="AA7" s="20"/>
      <c r="AB7" s="24" t="s">
        <v>127</v>
      </c>
      <c r="AC7" s="24"/>
      <c r="AD7" s="25" t="s">
        <v>128</v>
      </c>
      <c r="AE7" s="26" t="s">
        <v>54</v>
      </c>
      <c r="AF7" s="27" t="s">
        <v>129</v>
      </c>
    </row>
    <row r="8" ht="45.0" customHeight="1">
      <c r="A8" s="9">
        <v>2019.0</v>
      </c>
      <c r="B8" s="10" t="s">
        <v>130</v>
      </c>
      <c r="C8" s="30"/>
      <c r="D8" s="12" t="s">
        <v>131</v>
      </c>
      <c r="E8" s="31" t="s">
        <v>132</v>
      </c>
      <c r="F8" s="20" t="s">
        <v>133</v>
      </c>
      <c r="G8" s="20">
        <v>12.0</v>
      </c>
      <c r="H8" s="20" t="s">
        <v>35</v>
      </c>
      <c r="I8" s="21" t="s">
        <v>36</v>
      </c>
      <c r="J8" s="20" t="s">
        <v>37</v>
      </c>
      <c r="K8" s="20" t="s">
        <v>38</v>
      </c>
      <c r="L8" s="20" t="s">
        <v>39</v>
      </c>
      <c r="M8" s="20" t="s">
        <v>134</v>
      </c>
      <c r="N8" s="20" t="s">
        <v>135</v>
      </c>
      <c r="O8" s="20">
        <v>1.587248522E9</v>
      </c>
      <c r="P8" s="20" t="s">
        <v>42</v>
      </c>
      <c r="Q8" s="20" t="s">
        <v>136</v>
      </c>
      <c r="R8" s="22" t="s">
        <v>137</v>
      </c>
      <c r="S8" s="20" t="s">
        <v>138</v>
      </c>
      <c r="T8" s="23" t="s">
        <v>139</v>
      </c>
      <c r="U8" s="20" t="s">
        <v>140</v>
      </c>
      <c r="V8" s="24" t="s">
        <v>141</v>
      </c>
      <c r="W8" s="20" t="s">
        <v>142</v>
      </c>
      <c r="X8" s="20" t="s">
        <v>35</v>
      </c>
      <c r="Y8" s="21" t="s">
        <v>36</v>
      </c>
      <c r="Z8" s="24" t="s">
        <v>143</v>
      </c>
      <c r="AA8" s="20" t="s">
        <v>144</v>
      </c>
      <c r="AB8" s="24" t="s">
        <v>145</v>
      </c>
      <c r="AC8" s="24"/>
      <c r="AD8" s="25" t="s">
        <v>146</v>
      </c>
      <c r="AE8" s="26" t="s">
        <v>147</v>
      </c>
      <c r="AF8" s="27" t="s">
        <v>148</v>
      </c>
    </row>
    <row r="9" ht="15.75" customHeight="1">
      <c r="A9" s="9">
        <v>2019.0</v>
      </c>
      <c r="B9" s="10" t="s">
        <v>130</v>
      </c>
      <c r="C9" s="11"/>
      <c r="D9" s="12" t="s">
        <v>149</v>
      </c>
      <c r="E9" s="20" t="s">
        <v>33</v>
      </c>
      <c r="F9" s="32" t="s">
        <v>150</v>
      </c>
      <c r="G9" s="20">
        <v>14.0</v>
      </c>
      <c r="H9" s="20" t="s">
        <v>35</v>
      </c>
      <c r="I9" s="21" t="s">
        <v>36</v>
      </c>
      <c r="J9" s="20" t="s">
        <v>37</v>
      </c>
      <c r="K9" s="20" t="s">
        <v>38</v>
      </c>
      <c r="L9" s="20" t="s">
        <v>39</v>
      </c>
      <c r="M9" s="20"/>
      <c r="N9" s="20" t="s">
        <v>151</v>
      </c>
      <c r="O9" s="20" t="s">
        <v>152</v>
      </c>
      <c r="P9" s="20" t="s">
        <v>42</v>
      </c>
      <c r="Q9" s="20" t="s">
        <v>153</v>
      </c>
      <c r="R9" s="22" t="s">
        <v>154</v>
      </c>
      <c r="S9" s="20" t="s">
        <v>155</v>
      </c>
      <c r="T9" s="23" t="s">
        <v>156</v>
      </c>
      <c r="U9" s="20" t="s">
        <v>157</v>
      </c>
      <c r="V9" s="24" t="s">
        <v>141</v>
      </c>
      <c r="W9" s="20" t="s">
        <v>158</v>
      </c>
      <c r="X9" s="20" t="s">
        <v>35</v>
      </c>
      <c r="Y9" s="21" t="s">
        <v>36</v>
      </c>
      <c r="Z9" s="20" t="s">
        <v>159</v>
      </c>
      <c r="AA9" s="20" t="s">
        <v>160</v>
      </c>
      <c r="AB9" s="24" t="s">
        <v>161</v>
      </c>
      <c r="AC9" s="24"/>
      <c r="AD9" s="25" t="s">
        <v>162</v>
      </c>
      <c r="AE9" s="26" t="s">
        <v>163</v>
      </c>
      <c r="AF9" s="27" t="s">
        <v>164</v>
      </c>
    </row>
    <row r="10" ht="15.75" customHeight="1">
      <c r="A10" s="9">
        <v>2019.0</v>
      </c>
      <c r="B10" s="10" t="s">
        <v>130</v>
      </c>
      <c r="C10" s="11"/>
      <c r="D10" s="12" t="s">
        <v>165</v>
      </c>
      <c r="E10" s="31" t="s">
        <v>132</v>
      </c>
      <c r="F10" s="20" t="s">
        <v>166</v>
      </c>
      <c r="G10" s="20">
        <v>13.0</v>
      </c>
      <c r="H10" s="20" t="s">
        <v>35</v>
      </c>
      <c r="I10" s="21" t="s">
        <v>36</v>
      </c>
      <c r="J10" s="20" t="s">
        <v>37</v>
      </c>
      <c r="K10" s="20" t="s">
        <v>38</v>
      </c>
      <c r="L10" s="20" t="s">
        <v>39</v>
      </c>
      <c r="M10" s="20" t="s">
        <v>134</v>
      </c>
      <c r="N10" s="20" t="s">
        <v>167</v>
      </c>
      <c r="O10" s="20">
        <v>1.683708E7</v>
      </c>
      <c r="P10" s="20" t="s">
        <v>42</v>
      </c>
      <c r="Q10" s="20" t="s">
        <v>168</v>
      </c>
      <c r="R10" s="22" t="s">
        <v>169</v>
      </c>
      <c r="S10" s="20" t="s">
        <v>170</v>
      </c>
      <c r="T10" s="23" t="s">
        <v>171</v>
      </c>
      <c r="U10" s="20" t="s">
        <v>172</v>
      </c>
      <c r="V10" s="24" t="s">
        <v>141</v>
      </c>
      <c r="W10" s="20" t="s">
        <v>173</v>
      </c>
      <c r="X10" s="20" t="s">
        <v>35</v>
      </c>
      <c r="Y10" s="21" t="s">
        <v>36</v>
      </c>
      <c r="Z10" s="20" t="s">
        <v>174</v>
      </c>
      <c r="AA10" s="20"/>
      <c r="AB10" s="24" t="s">
        <v>175</v>
      </c>
      <c r="AC10" s="24"/>
      <c r="AD10" s="17" t="s">
        <v>176</v>
      </c>
      <c r="AE10" s="18" t="s">
        <v>147</v>
      </c>
      <c r="AF10" s="19" t="s">
        <v>177</v>
      </c>
    </row>
    <row r="11" ht="15.75" customHeight="1">
      <c r="A11" s="9">
        <v>2019.0</v>
      </c>
      <c r="B11" s="10" t="s">
        <v>130</v>
      </c>
      <c r="C11" s="20"/>
      <c r="D11" s="33" t="s">
        <v>178</v>
      </c>
      <c r="E11" s="20" t="s">
        <v>179</v>
      </c>
      <c r="F11" s="32">
        <v>37113.0</v>
      </c>
      <c r="G11" s="20">
        <f>2019-2001</f>
        <v>18</v>
      </c>
      <c r="H11" s="20" t="s">
        <v>35</v>
      </c>
      <c r="I11" s="21" t="s">
        <v>36</v>
      </c>
      <c r="J11" s="20" t="s">
        <v>37</v>
      </c>
      <c r="K11" s="20" t="s">
        <v>38</v>
      </c>
      <c r="L11" s="20" t="s">
        <v>39</v>
      </c>
      <c r="M11" s="20"/>
      <c r="N11" s="34" t="s">
        <v>180</v>
      </c>
      <c r="O11" s="24">
        <v>2.17133665E9</v>
      </c>
      <c r="P11" s="20" t="s">
        <v>42</v>
      </c>
      <c r="Q11" s="35">
        <v>42402.0</v>
      </c>
      <c r="R11" s="22" t="s">
        <v>181</v>
      </c>
      <c r="S11" s="20"/>
      <c r="T11" s="20"/>
      <c r="U11" s="20"/>
      <c r="V11" s="20"/>
      <c r="W11" s="20"/>
      <c r="X11" s="20"/>
      <c r="Y11" s="20"/>
      <c r="Z11" s="20"/>
      <c r="AA11" s="36" t="s">
        <v>182</v>
      </c>
      <c r="AB11" s="20"/>
      <c r="AC11" s="24" t="s">
        <v>183</v>
      </c>
      <c r="AD11" s="20"/>
      <c r="AE11" s="20"/>
      <c r="AF11" s="20"/>
    </row>
    <row r="12" ht="15.75" customHeight="1">
      <c r="A12" s="9">
        <v>2019.0</v>
      </c>
      <c r="B12" s="10" t="s">
        <v>130</v>
      </c>
      <c r="C12" s="11"/>
      <c r="D12" s="37" t="s">
        <v>184</v>
      </c>
      <c r="E12" s="2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22"/>
      <c r="S12" s="30"/>
      <c r="T12" s="30"/>
      <c r="U12" s="30"/>
      <c r="V12" s="30"/>
      <c r="W12" s="30"/>
      <c r="X12" s="30"/>
      <c r="Y12" s="20"/>
      <c r="Z12" s="30"/>
      <c r="AA12" s="30"/>
      <c r="AB12" s="30"/>
      <c r="AC12" s="30"/>
      <c r="AD12" s="30"/>
      <c r="AE12" s="30"/>
      <c r="AF12" s="30"/>
    </row>
    <row r="13" ht="15.75" customHeight="1">
      <c r="A13" s="9">
        <v>2019.0</v>
      </c>
      <c r="B13" s="10" t="s">
        <v>130</v>
      </c>
      <c r="C13" s="11"/>
      <c r="D13" s="33" t="s">
        <v>185</v>
      </c>
      <c r="E13" s="20" t="s">
        <v>74</v>
      </c>
      <c r="F13" s="32">
        <v>39292.0</v>
      </c>
      <c r="G13" s="20">
        <f>2019-2007</f>
        <v>12</v>
      </c>
      <c r="H13" s="30"/>
      <c r="I13" s="30"/>
      <c r="J13" s="30"/>
      <c r="K13" s="30"/>
      <c r="L13" s="30"/>
      <c r="M13" s="30"/>
      <c r="N13" s="30" t="s">
        <v>186</v>
      </c>
      <c r="O13" s="30">
        <v>2.176459415E9</v>
      </c>
      <c r="P13" s="30" t="s">
        <v>42</v>
      </c>
      <c r="Q13" s="38">
        <v>42090.0</v>
      </c>
      <c r="R13" s="22" t="s">
        <v>187</v>
      </c>
      <c r="S13" s="30"/>
      <c r="T13" s="30"/>
      <c r="U13" s="30"/>
      <c r="V13" s="30"/>
      <c r="W13" s="30"/>
      <c r="X13" s="30"/>
      <c r="Y13" s="20"/>
      <c r="Z13" s="30"/>
      <c r="AA13" s="30"/>
      <c r="AB13" s="39" t="s">
        <v>188</v>
      </c>
      <c r="AC13" s="24" t="s">
        <v>183</v>
      </c>
      <c r="AD13" s="30"/>
      <c r="AE13" s="30"/>
      <c r="AF13" s="30"/>
    </row>
    <row r="14" ht="15.75" customHeight="1">
      <c r="A14" s="9">
        <v>2019.0</v>
      </c>
      <c r="B14" s="10" t="s">
        <v>130</v>
      </c>
      <c r="C14" s="11"/>
      <c r="D14" s="40" t="s">
        <v>189</v>
      </c>
      <c r="E14" s="13" t="s">
        <v>74</v>
      </c>
      <c r="F14" s="32" t="s">
        <v>190</v>
      </c>
      <c r="G14" s="20">
        <f>2019-2008</f>
        <v>11</v>
      </c>
      <c r="H14" s="20" t="s">
        <v>35</v>
      </c>
      <c r="I14" s="21" t="s">
        <v>36</v>
      </c>
      <c r="J14" s="20" t="s">
        <v>37</v>
      </c>
      <c r="K14" s="20" t="s">
        <v>38</v>
      </c>
      <c r="L14" s="20" t="s">
        <v>39</v>
      </c>
      <c r="M14" s="20" t="s">
        <v>76</v>
      </c>
      <c r="N14" s="20" t="s">
        <v>191</v>
      </c>
      <c r="O14" s="20" t="s">
        <v>192</v>
      </c>
      <c r="P14" s="20" t="s">
        <v>42</v>
      </c>
      <c r="Q14" s="20" t="s">
        <v>193</v>
      </c>
      <c r="R14" s="22" t="s">
        <v>194</v>
      </c>
      <c r="S14" s="20" t="s">
        <v>195</v>
      </c>
      <c r="T14" s="23" t="s">
        <v>196</v>
      </c>
      <c r="U14" s="20" t="s">
        <v>197</v>
      </c>
      <c r="V14" s="24" t="s">
        <v>141</v>
      </c>
      <c r="W14" s="20" t="s">
        <v>198</v>
      </c>
      <c r="X14" s="20" t="s">
        <v>35</v>
      </c>
      <c r="Y14" s="21" t="s">
        <v>36</v>
      </c>
      <c r="Z14" s="20" t="s">
        <v>199</v>
      </c>
      <c r="AA14" s="20"/>
      <c r="AB14" s="24" t="s">
        <v>200</v>
      </c>
      <c r="AC14" s="24"/>
      <c r="AD14" s="41" t="s">
        <v>201</v>
      </c>
      <c r="AE14" s="26" t="s">
        <v>147</v>
      </c>
      <c r="AF14" s="27" t="s">
        <v>202</v>
      </c>
    </row>
    <row r="15" ht="15.75" customHeight="1">
      <c r="A15" s="9">
        <v>2019.0</v>
      </c>
      <c r="B15" s="10" t="s">
        <v>130</v>
      </c>
      <c r="C15" s="11"/>
      <c r="D15" s="42" t="s">
        <v>203</v>
      </c>
      <c r="E15" s="43" t="s">
        <v>204</v>
      </c>
      <c r="F15" s="32" t="s">
        <v>190</v>
      </c>
      <c r="G15" s="20">
        <v>11.0</v>
      </c>
      <c r="H15" s="20" t="s">
        <v>205</v>
      </c>
      <c r="I15" s="21" t="s">
        <v>36</v>
      </c>
      <c r="J15" s="20" t="s">
        <v>37</v>
      </c>
      <c r="K15" s="20" t="s">
        <v>38</v>
      </c>
      <c r="L15" s="20" t="s">
        <v>39</v>
      </c>
      <c r="M15" s="20" t="s">
        <v>206</v>
      </c>
      <c r="N15" s="20" t="s">
        <v>207</v>
      </c>
      <c r="O15" s="20" t="s">
        <v>208</v>
      </c>
      <c r="P15" s="20" t="s">
        <v>42</v>
      </c>
      <c r="Q15" s="20" t="s">
        <v>209</v>
      </c>
      <c r="R15" s="22" t="s">
        <v>210</v>
      </c>
      <c r="S15" s="20" t="s">
        <v>211</v>
      </c>
      <c r="T15" s="23" t="s">
        <v>212</v>
      </c>
      <c r="U15" s="20" t="s">
        <v>213</v>
      </c>
      <c r="V15" s="24" t="s">
        <v>141</v>
      </c>
      <c r="W15" s="20" t="s">
        <v>214</v>
      </c>
      <c r="X15" s="20" t="s">
        <v>35</v>
      </c>
      <c r="Y15" s="21" t="s">
        <v>36</v>
      </c>
      <c r="Z15" s="20" t="s">
        <v>215</v>
      </c>
      <c r="AA15" s="20"/>
      <c r="AB15" s="24" t="s">
        <v>216</v>
      </c>
      <c r="AC15" s="24"/>
      <c r="AD15" s="25" t="s">
        <v>217</v>
      </c>
      <c r="AE15" s="26" t="s">
        <v>218</v>
      </c>
      <c r="AF15" s="27" t="s">
        <v>219</v>
      </c>
    </row>
    <row r="16" ht="15.75" customHeight="1">
      <c r="A16" s="9">
        <v>2019.0</v>
      </c>
      <c r="B16" s="10" t="s">
        <v>130</v>
      </c>
      <c r="C16" s="11"/>
      <c r="D16" s="12" t="s">
        <v>220</v>
      </c>
      <c r="E16" s="13" t="s">
        <v>74</v>
      </c>
      <c r="F16" s="20" t="s">
        <v>190</v>
      </c>
      <c r="G16" s="20">
        <v>11.0</v>
      </c>
      <c r="H16" s="20" t="s">
        <v>35</v>
      </c>
      <c r="I16" s="21" t="s">
        <v>36</v>
      </c>
      <c r="J16" s="20" t="s">
        <v>37</v>
      </c>
      <c r="K16" s="20" t="s">
        <v>38</v>
      </c>
      <c r="L16" s="20" t="s">
        <v>39</v>
      </c>
      <c r="M16" s="20" t="s">
        <v>76</v>
      </c>
      <c r="N16" s="20" t="s">
        <v>221</v>
      </c>
      <c r="O16" s="20" t="s">
        <v>222</v>
      </c>
      <c r="P16" s="20" t="s">
        <v>42</v>
      </c>
      <c r="Q16" s="20" t="s">
        <v>193</v>
      </c>
      <c r="R16" s="22" t="s">
        <v>194</v>
      </c>
      <c r="S16" s="20" t="s">
        <v>195</v>
      </c>
      <c r="T16" s="23" t="s">
        <v>196</v>
      </c>
      <c r="U16" s="20" t="s">
        <v>197</v>
      </c>
      <c r="V16" s="24" t="s">
        <v>141</v>
      </c>
      <c r="W16" s="20" t="s">
        <v>198</v>
      </c>
      <c r="X16" s="20" t="s">
        <v>35</v>
      </c>
      <c r="Y16" s="21" t="s">
        <v>36</v>
      </c>
      <c r="Z16" s="20" t="s">
        <v>199</v>
      </c>
      <c r="AA16" s="20"/>
      <c r="AB16" s="24" t="s">
        <v>223</v>
      </c>
      <c r="AC16" s="24"/>
      <c r="AD16" s="44"/>
      <c r="AE16" s="26" t="s">
        <v>147</v>
      </c>
      <c r="AF16" s="27" t="s">
        <v>224</v>
      </c>
    </row>
    <row r="17" ht="15.75" customHeight="1">
      <c r="A17" s="9">
        <v>2019.0</v>
      </c>
      <c r="B17" s="10" t="s">
        <v>225</v>
      </c>
      <c r="C17" s="11"/>
      <c r="D17" s="37" t="s">
        <v>226</v>
      </c>
      <c r="E17" s="2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2"/>
      <c r="S17" s="30"/>
      <c r="T17" s="30"/>
      <c r="U17" s="30"/>
      <c r="V17" s="30"/>
      <c r="W17" s="30"/>
      <c r="X17" s="30"/>
      <c r="Y17" s="20"/>
      <c r="Z17" s="30"/>
      <c r="AA17" s="30"/>
      <c r="AB17" s="45" t="s">
        <v>227</v>
      </c>
      <c r="AC17" s="30"/>
      <c r="AD17" s="30"/>
      <c r="AE17" s="30"/>
      <c r="AF17" s="30"/>
    </row>
    <row r="18" ht="15.75" customHeight="1">
      <c r="A18" s="9">
        <v>2019.0</v>
      </c>
      <c r="B18" s="10" t="s">
        <v>225</v>
      </c>
      <c r="C18" s="20"/>
      <c r="D18" s="42" t="s">
        <v>228</v>
      </c>
      <c r="E18" s="20" t="s">
        <v>132</v>
      </c>
      <c r="F18" s="32" t="s">
        <v>229</v>
      </c>
      <c r="G18" s="20">
        <v>12.0</v>
      </c>
      <c r="H18" s="20" t="s">
        <v>35</v>
      </c>
      <c r="I18" s="21" t="s">
        <v>36</v>
      </c>
      <c r="J18" s="20" t="s">
        <v>37</v>
      </c>
      <c r="K18" s="20" t="s">
        <v>38</v>
      </c>
      <c r="L18" s="20" t="s">
        <v>39</v>
      </c>
      <c r="M18" s="20"/>
      <c r="N18" s="20" t="s">
        <v>230</v>
      </c>
      <c r="O18" s="20">
        <v>2.142702465E9</v>
      </c>
      <c r="P18" s="20" t="s">
        <v>42</v>
      </c>
      <c r="Q18" s="20" t="s">
        <v>231</v>
      </c>
      <c r="R18" s="22" t="s">
        <v>232</v>
      </c>
      <c r="S18" s="20" t="s">
        <v>233</v>
      </c>
      <c r="T18" s="24" t="s">
        <v>234</v>
      </c>
      <c r="U18" s="24" t="s">
        <v>235</v>
      </c>
      <c r="V18" s="24" t="str">
        <f>V15</f>
        <v>Eng. Velho da Federação</v>
      </c>
      <c r="W18" s="20" t="s">
        <v>236</v>
      </c>
      <c r="X18" s="20" t="s">
        <v>35</v>
      </c>
      <c r="Y18" s="21" t="s">
        <v>36</v>
      </c>
      <c r="Z18" s="20" t="s">
        <v>237</v>
      </c>
      <c r="AA18" s="20"/>
      <c r="AB18" s="24"/>
      <c r="AC18" s="24"/>
      <c r="AD18" s="46" t="s">
        <v>238</v>
      </c>
      <c r="AE18" s="18" t="s">
        <v>147</v>
      </c>
      <c r="AF18" s="19" t="s">
        <v>239</v>
      </c>
    </row>
    <row r="19" ht="15.75" customHeight="1">
      <c r="A19" s="9">
        <v>2019.0</v>
      </c>
      <c r="B19" s="10" t="s">
        <v>225</v>
      </c>
      <c r="C19" s="11"/>
      <c r="D19" s="33" t="s">
        <v>240</v>
      </c>
      <c r="E19" s="20" t="s">
        <v>132</v>
      </c>
      <c r="F19" s="35">
        <v>38982.0</v>
      </c>
      <c r="G19" s="20">
        <v>13.0</v>
      </c>
      <c r="H19" s="30"/>
      <c r="I19" s="30"/>
      <c r="J19" s="30"/>
      <c r="K19" s="30"/>
      <c r="L19" s="30"/>
      <c r="M19" s="30"/>
      <c r="N19" s="30" t="s">
        <v>241</v>
      </c>
      <c r="O19" s="24">
        <v>1.563226685E9</v>
      </c>
      <c r="P19" s="20" t="s">
        <v>42</v>
      </c>
      <c r="Q19" s="38">
        <v>43481.0</v>
      </c>
      <c r="R19" s="47" t="s">
        <v>242</v>
      </c>
      <c r="S19" s="30"/>
      <c r="T19" s="30"/>
      <c r="U19" s="30"/>
      <c r="V19" s="30"/>
      <c r="W19" s="30"/>
      <c r="X19" s="30"/>
      <c r="Y19" s="20"/>
      <c r="Z19" s="30"/>
      <c r="AA19" s="30"/>
      <c r="AB19" s="30"/>
      <c r="AC19" s="30"/>
      <c r="AD19" s="30"/>
      <c r="AE19" s="30"/>
      <c r="AF19" s="30"/>
    </row>
    <row r="20" ht="15.75" customHeight="1">
      <c r="A20" s="9">
        <v>2019.0</v>
      </c>
      <c r="B20" s="10" t="s">
        <v>225</v>
      </c>
      <c r="C20" s="11"/>
      <c r="D20" s="28" t="s">
        <v>243</v>
      </c>
      <c r="E20" s="43" t="s">
        <v>132</v>
      </c>
      <c r="F20" s="20" t="s">
        <v>244</v>
      </c>
      <c r="G20" s="20">
        <v>13.0</v>
      </c>
      <c r="H20" s="20" t="s">
        <v>35</v>
      </c>
      <c r="I20" s="21" t="s">
        <v>36</v>
      </c>
      <c r="J20" s="20" t="s">
        <v>37</v>
      </c>
      <c r="K20" s="20" t="s">
        <v>38</v>
      </c>
      <c r="L20" s="20" t="s">
        <v>39</v>
      </c>
      <c r="M20" s="20" t="s">
        <v>134</v>
      </c>
      <c r="N20" s="20" t="s">
        <v>245</v>
      </c>
      <c r="O20" s="20" t="s">
        <v>246</v>
      </c>
      <c r="P20" s="20" t="s">
        <v>42</v>
      </c>
      <c r="Q20" s="20" t="s">
        <v>247</v>
      </c>
      <c r="R20" s="22" t="s">
        <v>248</v>
      </c>
      <c r="S20" s="20" t="s">
        <v>249</v>
      </c>
      <c r="T20" s="23" t="s">
        <v>250</v>
      </c>
      <c r="U20" s="20" t="s">
        <v>251</v>
      </c>
      <c r="V20" s="24" t="s">
        <v>252</v>
      </c>
      <c r="W20" s="20" t="s">
        <v>253</v>
      </c>
      <c r="X20" s="20" t="s">
        <v>35</v>
      </c>
      <c r="Y20" s="21" t="s">
        <v>36</v>
      </c>
      <c r="Z20" s="20" t="s">
        <v>254</v>
      </c>
      <c r="AA20" s="20"/>
      <c r="AB20" s="24" t="s">
        <v>255</v>
      </c>
      <c r="AC20" s="24"/>
      <c r="AD20" s="17" t="s">
        <v>256</v>
      </c>
      <c r="AE20" s="18" t="s">
        <v>147</v>
      </c>
      <c r="AF20" s="19" t="s">
        <v>257</v>
      </c>
    </row>
    <row r="21" ht="15.75" customHeight="1">
      <c r="A21" s="9">
        <v>2019.0</v>
      </c>
      <c r="B21" s="10" t="s">
        <v>225</v>
      </c>
      <c r="C21" s="30"/>
      <c r="D21" s="12" t="s">
        <v>258</v>
      </c>
      <c r="E21" s="31" t="s">
        <v>132</v>
      </c>
      <c r="F21" s="20" t="s">
        <v>259</v>
      </c>
      <c r="G21" s="20">
        <v>12.0</v>
      </c>
      <c r="H21" s="20" t="s">
        <v>35</v>
      </c>
      <c r="I21" s="21" t="s">
        <v>36</v>
      </c>
      <c r="J21" s="20" t="s">
        <v>37</v>
      </c>
      <c r="K21" s="20" t="s">
        <v>38</v>
      </c>
      <c r="L21" s="20" t="s">
        <v>39</v>
      </c>
      <c r="M21" s="20" t="s">
        <v>206</v>
      </c>
      <c r="N21" s="20" t="s">
        <v>260</v>
      </c>
      <c r="O21" s="20" t="s">
        <v>261</v>
      </c>
      <c r="P21" s="20" t="s">
        <v>42</v>
      </c>
      <c r="Q21" s="20" t="s">
        <v>262</v>
      </c>
      <c r="R21" s="22" t="s">
        <v>263</v>
      </c>
      <c r="S21" s="20" t="s">
        <v>63</v>
      </c>
      <c r="T21" s="23" t="s">
        <v>264</v>
      </c>
      <c r="U21" s="20" t="s">
        <v>213</v>
      </c>
      <c r="V21" s="24" t="s">
        <v>252</v>
      </c>
      <c r="W21" s="20" t="s">
        <v>265</v>
      </c>
      <c r="X21" s="20" t="s">
        <v>35</v>
      </c>
      <c r="Y21" s="21" t="s">
        <v>36</v>
      </c>
      <c r="Z21" s="24" t="s">
        <v>266</v>
      </c>
      <c r="AA21" s="20" t="s">
        <v>267</v>
      </c>
      <c r="AB21" s="24" t="s">
        <v>268</v>
      </c>
      <c r="AC21" s="24"/>
      <c r="AD21" s="25" t="s">
        <v>269</v>
      </c>
      <c r="AE21" s="26" t="s">
        <v>147</v>
      </c>
      <c r="AF21" s="27" t="s">
        <v>270</v>
      </c>
    </row>
    <row r="22" ht="25.5" customHeight="1">
      <c r="A22" s="9">
        <v>2019.0</v>
      </c>
      <c r="B22" s="10" t="s">
        <v>271</v>
      </c>
      <c r="C22" s="11"/>
      <c r="D22" s="37" t="s">
        <v>272</v>
      </c>
      <c r="E22" s="20"/>
      <c r="F22" s="20"/>
      <c r="G22" s="20"/>
      <c r="H22" s="20"/>
      <c r="I22" s="20"/>
      <c r="J22" s="20"/>
      <c r="K22" s="20"/>
      <c r="L22" s="30"/>
      <c r="M22" s="30"/>
      <c r="N22" s="30"/>
      <c r="O22" s="30"/>
      <c r="P22" s="30"/>
      <c r="Q22" s="30"/>
      <c r="R22" s="22"/>
      <c r="S22" s="30"/>
      <c r="T22" s="30"/>
      <c r="U22" s="30"/>
      <c r="V22" s="30"/>
      <c r="W22" s="30"/>
      <c r="X22" s="30"/>
      <c r="Y22" s="20"/>
      <c r="Z22" s="30"/>
      <c r="AA22" s="48"/>
      <c r="AB22" s="48" t="s">
        <v>273</v>
      </c>
      <c r="AC22" s="30"/>
      <c r="AD22" s="30"/>
      <c r="AE22" s="30"/>
      <c r="AF22" s="30"/>
    </row>
    <row r="23" ht="15.75" customHeight="1">
      <c r="A23" s="9">
        <v>2019.0</v>
      </c>
      <c r="B23" s="10" t="s">
        <v>271</v>
      </c>
      <c r="C23" s="11"/>
      <c r="D23" s="12" t="s">
        <v>274</v>
      </c>
      <c r="E23" s="13" t="s">
        <v>74</v>
      </c>
      <c r="F23" s="20" t="s">
        <v>275</v>
      </c>
      <c r="G23" s="20">
        <v>13.0</v>
      </c>
      <c r="H23" s="20" t="s">
        <v>35</v>
      </c>
      <c r="I23" s="21" t="s">
        <v>36</v>
      </c>
      <c r="J23" s="20" t="s">
        <v>37</v>
      </c>
      <c r="K23" s="20" t="s">
        <v>38</v>
      </c>
      <c r="L23" s="20" t="s">
        <v>39</v>
      </c>
      <c r="M23" s="20" t="s">
        <v>134</v>
      </c>
      <c r="N23" s="20" t="s">
        <v>276</v>
      </c>
      <c r="O23" s="20">
        <v>1.662362765E9</v>
      </c>
      <c r="P23" s="20" t="s">
        <v>42</v>
      </c>
      <c r="Q23" s="20" t="s">
        <v>277</v>
      </c>
      <c r="R23" s="22" t="s">
        <v>278</v>
      </c>
      <c r="S23" s="20" t="s">
        <v>279</v>
      </c>
      <c r="T23" s="23" t="s">
        <v>280</v>
      </c>
      <c r="U23" s="20" t="s">
        <v>281</v>
      </c>
      <c r="V23" s="24" t="s">
        <v>282</v>
      </c>
      <c r="W23" s="20" t="s">
        <v>283</v>
      </c>
      <c r="X23" s="20" t="s">
        <v>35</v>
      </c>
      <c r="Y23" s="21" t="s">
        <v>36</v>
      </c>
      <c r="Z23" s="20" t="s">
        <v>284</v>
      </c>
      <c r="AA23" s="20" t="s">
        <v>285</v>
      </c>
      <c r="AB23" s="24" t="s">
        <v>286</v>
      </c>
      <c r="AC23" s="24"/>
      <c r="AD23" s="25" t="s">
        <v>287</v>
      </c>
      <c r="AE23" s="26" t="s">
        <v>218</v>
      </c>
      <c r="AF23" s="27" t="s">
        <v>288</v>
      </c>
    </row>
    <row r="24" ht="15.75" customHeight="1">
      <c r="A24" s="9">
        <v>2019.0</v>
      </c>
      <c r="B24" s="10" t="s">
        <v>271</v>
      </c>
      <c r="C24" s="11"/>
      <c r="D24" s="12" t="s">
        <v>289</v>
      </c>
      <c r="E24" s="13" t="s">
        <v>132</v>
      </c>
      <c r="F24" s="20" t="s">
        <v>290</v>
      </c>
      <c r="G24" s="20">
        <v>13.0</v>
      </c>
      <c r="H24" s="20" t="s">
        <v>35</v>
      </c>
      <c r="I24" s="21" t="s">
        <v>36</v>
      </c>
      <c r="J24" s="20" t="s">
        <v>37</v>
      </c>
      <c r="K24" s="20" t="s">
        <v>38</v>
      </c>
      <c r="L24" s="20" t="s">
        <v>39</v>
      </c>
      <c r="M24" s="20"/>
      <c r="N24" s="20" t="s">
        <v>291</v>
      </c>
      <c r="O24" s="20">
        <v>2.174513811E9</v>
      </c>
      <c r="P24" s="20" t="s">
        <v>42</v>
      </c>
      <c r="Q24" s="20" t="s">
        <v>292</v>
      </c>
      <c r="R24" s="22" t="s">
        <v>293</v>
      </c>
      <c r="S24" s="20" t="s">
        <v>294</v>
      </c>
      <c r="T24" s="23" t="s">
        <v>295</v>
      </c>
      <c r="U24" s="20" t="s">
        <v>296</v>
      </c>
      <c r="V24" s="24" t="s">
        <v>252</v>
      </c>
      <c r="W24" s="20" t="s">
        <v>297</v>
      </c>
      <c r="X24" s="20" t="s">
        <v>35</v>
      </c>
      <c r="Y24" s="21" t="s">
        <v>36</v>
      </c>
      <c r="Z24" s="24" t="s">
        <v>298</v>
      </c>
      <c r="AA24" s="20" t="s">
        <v>299</v>
      </c>
      <c r="AB24" s="24" t="s">
        <v>300</v>
      </c>
      <c r="AC24" s="24"/>
      <c r="AD24" s="17" t="s">
        <v>301</v>
      </c>
      <c r="AE24" s="18" t="s">
        <v>302</v>
      </c>
      <c r="AF24" s="19" t="s">
        <v>303</v>
      </c>
    </row>
    <row r="25" ht="15.75" customHeight="1">
      <c r="A25" s="9">
        <v>2019.0</v>
      </c>
      <c r="B25" s="10" t="s">
        <v>271</v>
      </c>
      <c r="C25" s="11"/>
      <c r="D25" s="37" t="s">
        <v>304</v>
      </c>
      <c r="E25" s="2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22"/>
      <c r="S25" s="30"/>
      <c r="T25" s="30"/>
      <c r="U25" s="30"/>
      <c r="V25" s="30"/>
      <c r="W25" s="30"/>
      <c r="X25" s="30"/>
      <c r="Y25" s="20"/>
      <c r="Z25" s="30"/>
      <c r="AA25" s="49" t="s">
        <v>305</v>
      </c>
      <c r="AB25" s="30"/>
      <c r="AC25" s="30"/>
      <c r="AD25" s="30"/>
      <c r="AE25" s="30"/>
      <c r="AF25" s="30"/>
    </row>
    <row r="26" ht="15.75" customHeight="1">
      <c r="A26" s="9">
        <v>2019.0</v>
      </c>
      <c r="B26" s="10" t="s">
        <v>271</v>
      </c>
      <c r="C26" s="11"/>
      <c r="D26" s="12" t="s">
        <v>306</v>
      </c>
      <c r="E26" s="13" t="s">
        <v>132</v>
      </c>
      <c r="F26" s="20" t="s">
        <v>307</v>
      </c>
      <c r="G26" s="20">
        <v>12.0</v>
      </c>
      <c r="H26" s="20" t="s">
        <v>35</v>
      </c>
      <c r="I26" s="21" t="s">
        <v>36</v>
      </c>
      <c r="J26" s="20" t="s">
        <v>37</v>
      </c>
      <c r="K26" s="20" t="s">
        <v>38</v>
      </c>
      <c r="L26" s="20" t="s">
        <v>39</v>
      </c>
      <c r="M26" s="20"/>
      <c r="N26" s="20" t="s">
        <v>308</v>
      </c>
      <c r="O26" s="20" t="s">
        <v>309</v>
      </c>
      <c r="P26" s="20" t="s">
        <v>42</v>
      </c>
      <c r="Q26" s="20" t="s">
        <v>310</v>
      </c>
      <c r="R26" s="22" t="s">
        <v>311</v>
      </c>
      <c r="S26" s="20" t="s">
        <v>312</v>
      </c>
      <c r="T26" s="23" t="s">
        <v>313</v>
      </c>
      <c r="U26" s="24" t="s">
        <v>314</v>
      </c>
      <c r="V26" s="24" t="s">
        <v>315</v>
      </c>
      <c r="W26" s="20" t="s">
        <v>316</v>
      </c>
      <c r="X26" s="20" t="s">
        <v>35</v>
      </c>
      <c r="Y26" s="21" t="s">
        <v>36</v>
      </c>
      <c r="Z26" s="24" t="s">
        <v>317</v>
      </c>
      <c r="AA26" s="20"/>
      <c r="AB26" s="24" t="s">
        <v>318</v>
      </c>
      <c r="AC26" s="24"/>
      <c r="AD26" s="25" t="s">
        <v>319</v>
      </c>
      <c r="AE26" s="26" t="s">
        <v>320</v>
      </c>
      <c r="AF26" s="27" t="s">
        <v>321</v>
      </c>
    </row>
    <row r="27" ht="15.75" customHeight="1">
      <c r="A27" s="9">
        <v>2019.0</v>
      </c>
      <c r="B27" s="10" t="s">
        <v>271</v>
      </c>
      <c r="C27" s="11"/>
      <c r="D27" s="28" t="s">
        <v>322</v>
      </c>
      <c r="E27" s="43" t="s">
        <v>132</v>
      </c>
      <c r="F27" s="20" t="s">
        <v>323</v>
      </c>
      <c r="G27" s="20">
        <v>13.0</v>
      </c>
      <c r="H27" s="20" t="s">
        <v>324</v>
      </c>
      <c r="I27" s="21" t="s">
        <v>36</v>
      </c>
      <c r="J27" s="20" t="s">
        <v>37</v>
      </c>
      <c r="K27" s="20" t="s">
        <v>38</v>
      </c>
      <c r="L27" s="20" t="s">
        <v>39</v>
      </c>
      <c r="M27" s="20"/>
      <c r="N27" s="20" t="s">
        <v>325</v>
      </c>
      <c r="O27" s="20" t="s">
        <v>326</v>
      </c>
      <c r="P27" s="20" t="s">
        <v>42</v>
      </c>
      <c r="Q27" s="20" t="s">
        <v>327</v>
      </c>
      <c r="R27" s="22" t="s">
        <v>328</v>
      </c>
      <c r="S27" s="20" t="s">
        <v>329</v>
      </c>
      <c r="T27" s="23" t="s">
        <v>330</v>
      </c>
      <c r="U27" s="20" t="s">
        <v>331</v>
      </c>
      <c r="V27" s="24" t="s">
        <v>332</v>
      </c>
      <c r="W27" s="20" t="s">
        <v>333</v>
      </c>
      <c r="X27" s="20" t="s">
        <v>334</v>
      </c>
      <c r="Y27" s="21" t="s">
        <v>36</v>
      </c>
      <c r="Z27" s="24" t="s">
        <v>335</v>
      </c>
      <c r="AA27" s="20"/>
      <c r="AB27" s="24" t="s">
        <v>336</v>
      </c>
      <c r="AC27" s="24"/>
      <c r="AD27" s="17" t="s">
        <v>337</v>
      </c>
      <c r="AE27" s="18" t="s">
        <v>338</v>
      </c>
      <c r="AF27" s="19" t="s">
        <v>339</v>
      </c>
    </row>
    <row r="28" ht="45.0" customHeight="1">
      <c r="A28" s="9">
        <v>2019.0</v>
      </c>
      <c r="B28" s="10" t="s">
        <v>340</v>
      </c>
      <c r="C28" s="11"/>
      <c r="D28" s="28" t="s">
        <v>341</v>
      </c>
      <c r="E28" s="43" t="s">
        <v>100</v>
      </c>
      <c r="F28" s="20" t="s">
        <v>342</v>
      </c>
      <c r="G28" s="20">
        <v>12.0</v>
      </c>
      <c r="H28" s="20" t="s">
        <v>343</v>
      </c>
      <c r="I28" s="24" t="s">
        <v>344</v>
      </c>
      <c r="J28" s="20" t="s">
        <v>37</v>
      </c>
      <c r="K28" s="20" t="s">
        <v>38</v>
      </c>
      <c r="L28" s="20" t="s">
        <v>39</v>
      </c>
      <c r="M28" s="20" t="s">
        <v>134</v>
      </c>
      <c r="N28" s="20" t="s">
        <v>345</v>
      </c>
      <c r="O28" s="20" t="s">
        <v>346</v>
      </c>
      <c r="P28" s="20" t="s">
        <v>347</v>
      </c>
      <c r="Q28" s="20" t="s">
        <v>348</v>
      </c>
      <c r="R28" s="22" t="s">
        <v>349</v>
      </c>
      <c r="S28" s="20" t="s">
        <v>350</v>
      </c>
      <c r="T28" s="23" t="s">
        <v>351</v>
      </c>
      <c r="U28" s="20" t="s">
        <v>352</v>
      </c>
      <c r="V28" s="24" t="s">
        <v>353</v>
      </c>
      <c r="W28" s="20" t="s">
        <v>354</v>
      </c>
      <c r="X28" s="20" t="s">
        <v>35</v>
      </c>
      <c r="Y28" s="21" t="s">
        <v>36</v>
      </c>
      <c r="Z28" s="20" t="s">
        <v>284</v>
      </c>
      <c r="AA28" s="20" t="s">
        <v>355</v>
      </c>
      <c r="AB28" s="24" t="s">
        <v>356</v>
      </c>
      <c r="AC28" s="24"/>
      <c r="AD28" s="25" t="s">
        <v>357</v>
      </c>
      <c r="AE28" s="26" t="s">
        <v>147</v>
      </c>
      <c r="AF28" s="27" t="s">
        <v>358</v>
      </c>
    </row>
    <row r="29" ht="15.75" customHeight="1">
      <c r="A29" s="9">
        <v>2019.0</v>
      </c>
      <c r="B29" s="10" t="s">
        <v>340</v>
      </c>
      <c r="C29" s="11"/>
      <c r="D29" s="12" t="s">
        <v>359</v>
      </c>
      <c r="E29" s="20" t="s">
        <v>33</v>
      </c>
      <c r="F29" s="20" t="s">
        <v>360</v>
      </c>
      <c r="G29" s="20">
        <v>14.0</v>
      </c>
      <c r="H29" s="20" t="s">
        <v>361</v>
      </c>
      <c r="I29" s="20" t="s">
        <v>362</v>
      </c>
      <c r="J29" s="20" t="s">
        <v>37</v>
      </c>
      <c r="K29" s="20" t="s">
        <v>38</v>
      </c>
      <c r="L29" s="20" t="s">
        <v>39</v>
      </c>
      <c r="M29" s="20" t="s">
        <v>76</v>
      </c>
      <c r="N29" s="20" t="s">
        <v>363</v>
      </c>
      <c r="O29" s="20">
        <v>3949800.0</v>
      </c>
      <c r="P29" s="20" t="s">
        <v>364</v>
      </c>
      <c r="Q29" s="20" t="s">
        <v>365</v>
      </c>
      <c r="R29" s="22" t="s">
        <v>366</v>
      </c>
      <c r="S29" s="20" t="s">
        <v>367</v>
      </c>
      <c r="T29" s="23" t="s">
        <v>212</v>
      </c>
      <c r="U29" s="20" t="s">
        <v>368</v>
      </c>
      <c r="V29" s="24" t="s">
        <v>369</v>
      </c>
      <c r="W29" s="20" t="s">
        <v>370</v>
      </c>
      <c r="X29" s="20" t="s">
        <v>50</v>
      </c>
      <c r="Y29" s="21" t="s">
        <v>36</v>
      </c>
      <c r="Z29" s="20" t="s">
        <v>371</v>
      </c>
      <c r="AA29" s="20"/>
      <c r="AB29" s="24" t="s">
        <v>372</v>
      </c>
      <c r="AC29" s="24"/>
      <c r="AD29" s="25" t="s">
        <v>373</v>
      </c>
      <c r="AE29" s="26" t="s">
        <v>71</v>
      </c>
      <c r="AF29" s="27" t="s">
        <v>374</v>
      </c>
    </row>
    <row r="30" ht="15.75" customHeight="1">
      <c r="A30" s="9">
        <v>2019.0</v>
      </c>
      <c r="B30" s="10" t="s">
        <v>340</v>
      </c>
      <c r="C30" s="11"/>
      <c r="D30" s="28" t="s">
        <v>375</v>
      </c>
      <c r="E30" s="20" t="s">
        <v>33</v>
      </c>
      <c r="F30" s="24" t="s">
        <v>376</v>
      </c>
      <c r="G30" s="24">
        <v>13.0</v>
      </c>
      <c r="H30" s="24" t="s">
        <v>35</v>
      </c>
      <c r="I30" s="50" t="s">
        <v>36</v>
      </c>
      <c r="J30" s="24" t="s">
        <v>37</v>
      </c>
      <c r="K30" s="24" t="s">
        <v>38</v>
      </c>
      <c r="L30" s="24" t="s">
        <v>39</v>
      </c>
      <c r="M30" s="24" t="s">
        <v>76</v>
      </c>
      <c r="N30" s="24" t="s">
        <v>377</v>
      </c>
      <c r="O30" s="24" t="s">
        <v>378</v>
      </c>
      <c r="P30" s="24" t="s">
        <v>42</v>
      </c>
      <c r="Q30" s="24" t="s">
        <v>379</v>
      </c>
      <c r="R30" s="22" t="s">
        <v>380</v>
      </c>
      <c r="S30" s="24" t="s">
        <v>381</v>
      </c>
      <c r="T30" s="23" t="s">
        <v>382</v>
      </c>
      <c r="U30" s="24" t="s">
        <v>383</v>
      </c>
      <c r="V30" s="24" t="s">
        <v>384</v>
      </c>
      <c r="W30" s="23" t="s">
        <v>385</v>
      </c>
      <c r="X30" s="24" t="s">
        <v>35</v>
      </c>
      <c r="Y30" s="50" t="s">
        <v>36</v>
      </c>
      <c r="Z30" s="24" t="s">
        <v>371</v>
      </c>
      <c r="AA30" s="24"/>
      <c r="AB30" s="24" t="s">
        <v>386</v>
      </c>
      <c r="AC30" s="24"/>
      <c r="AD30" s="25" t="s">
        <v>387</v>
      </c>
      <c r="AE30" s="26" t="s">
        <v>71</v>
      </c>
      <c r="AF30" s="26" t="s">
        <v>388</v>
      </c>
    </row>
    <row r="31" ht="15.75" customHeight="1">
      <c r="A31" s="9">
        <v>2019.0</v>
      </c>
      <c r="B31" s="10" t="s">
        <v>340</v>
      </c>
      <c r="C31" s="11"/>
      <c r="D31" s="12" t="s">
        <v>389</v>
      </c>
      <c r="E31" s="20" t="s">
        <v>390</v>
      </c>
      <c r="F31" s="20" t="s">
        <v>391</v>
      </c>
      <c r="G31" s="20">
        <v>13.0</v>
      </c>
      <c r="H31" s="20" t="s">
        <v>35</v>
      </c>
      <c r="I31" s="21" t="s">
        <v>36</v>
      </c>
      <c r="J31" s="20" t="s">
        <v>37</v>
      </c>
      <c r="K31" s="20" t="s">
        <v>38</v>
      </c>
      <c r="L31" s="20" t="s">
        <v>39</v>
      </c>
      <c r="M31" s="20"/>
      <c r="N31" s="20" t="s">
        <v>392</v>
      </c>
      <c r="O31" s="20" t="s">
        <v>393</v>
      </c>
      <c r="P31" s="20" t="s">
        <v>394</v>
      </c>
      <c r="Q31" s="20" t="s">
        <v>395</v>
      </c>
      <c r="R31" s="22" t="s">
        <v>232</v>
      </c>
      <c r="S31" s="20" t="s">
        <v>396</v>
      </c>
      <c r="T31" s="23" t="s">
        <v>397</v>
      </c>
      <c r="U31" s="20" t="s">
        <v>398</v>
      </c>
      <c r="V31" s="24" t="s">
        <v>384</v>
      </c>
      <c r="W31" s="20" t="s">
        <v>399</v>
      </c>
      <c r="X31" s="20" t="s">
        <v>35</v>
      </c>
      <c r="Y31" s="21" t="s">
        <v>36</v>
      </c>
      <c r="Z31" s="24" t="s">
        <v>400</v>
      </c>
      <c r="AA31" s="20"/>
      <c r="AB31" s="24" t="s">
        <v>401</v>
      </c>
      <c r="AC31" s="24"/>
      <c r="AD31" s="51" t="s">
        <v>402</v>
      </c>
      <c r="AE31" s="20" t="s">
        <v>403</v>
      </c>
      <c r="AF31" s="20" t="s">
        <v>404</v>
      </c>
    </row>
    <row r="32" ht="15.75" customHeight="1">
      <c r="A32" s="52">
        <v>2020.0</v>
      </c>
      <c r="B32" s="10" t="s">
        <v>31</v>
      </c>
      <c r="C32" s="53"/>
      <c r="D32" s="54" t="s">
        <v>32</v>
      </c>
      <c r="E32" s="55" t="s">
        <v>179</v>
      </c>
      <c r="F32" s="55" t="s">
        <v>34</v>
      </c>
      <c r="G32" s="55">
        <f>2020-2005</f>
        <v>15</v>
      </c>
      <c r="H32" s="55" t="s">
        <v>35</v>
      </c>
      <c r="I32" s="56" t="s">
        <v>36</v>
      </c>
      <c r="J32" s="55" t="s">
        <v>37</v>
      </c>
      <c r="K32" s="55" t="s">
        <v>38</v>
      </c>
      <c r="L32" s="55" t="s">
        <v>39</v>
      </c>
      <c r="M32" s="55"/>
      <c r="N32" s="55" t="s">
        <v>40</v>
      </c>
      <c r="O32" s="55" t="s">
        <v>41</v>
      </c>
      <c r="P32" s="55" t="s">
        <v>42</v>
      </c>
      <c r="Q32" s="55" t="s">
        <v>43</v>
      </c>
      <c r="R32" s="57" t="s">
        <v>44</v>
      </c>
      <c r="S32" s="55" t="s">
        <v>45</v>
      </c>
      <c r="T32" s="57" t="s">
        <v>46</v>
      </c>
      <c r="U32" s="55" t="s">
        <v>47</v>
      </c>
      <c r="V32" s="55" t="s">
        <v>48</v>
      </c>
      <c r="W32" s="55" t="s">
        <v>49</v>
      </c>
      <c r="X32" s="55" t="s">
        <v>50</v>
      </c>
      <c r="Y32" s="56" t="s">
        <v>36</v>
      </c>
      <c r="Z32" s="55" t="s">
        <v>51</v>
      </c>
      <c r="AA32" s="55"/>
      <c r="AB32" s="55" t="s">
        <v>52</v>
      </c>
      <c r="AC32" s="55"/>
      <c r="AD32" s="17" t="s">
        <v>53</v>
      </c>
      <c r="AE32" s="58" t="s">
        <v>54</v>
      </c>
      <c r="AF32" s="19" t="s">
        <v>55</v>
      </c>
    </row>
    <row r="33" ht="15.75" customHeight="1">
      <c r="A33" s="52">
        <v>2020.0</v>
      </c>
      <c r="B33" s="10" t="s">
        <v>31</v>
      </c>
      <c r="C33" s="59"/>
      <c r="D33" s="54" t="s">
        <v>56</v>
      </c>
      <c r="E33" s="60" t="s">
        <v>405</v>
      </c>
      <c r="F33" s="20" t="s">
        <v>57</v>
      </c>
      <c r="G33" s="20">
        <v>14.0</v>
      </c>
      <c r="H33" s="20" t="s">
        <v>35</v>
      </c>
      <c r="I33" s="21" t="s">
        <v>36</v>
      </c>
      <c r="J33" s="20" t="s">
        <v>37</v>
      </c>
      <c r="K33" s="20" t="s">
        <v>38</v>
      </c>
      <c r="L33" s="20" t="s">
        <v>39</v>
      </c>
      <c r="M33" s="20" t="s">
        <v>58</v>
      </c>
      <c r="N33" s="20" t="s">
        <v>59</v>
      </c>
      <c r="O33" s="20" t="s">
        <v>60</v>
      </c>
      <c r="P33" s="20" t="s">
        <v>42</v>
      </c>
      <c r="Q33" s="20" t="s">
        <v>61</v>
      </c>
      <c r="R33" s="30" t="s">
        <v>62</v>
      </c>
      <c r="S33" s="20" t="s">
        <v>63</v>
      </c>
      <c r="T33" s="23" t="s">
        <v>64</v>
      </c>
      <c r="U33" s="20" t="s">
        <v>65</v>
      </c>
      <c r="V33" s="24" t="s">
        <v>66</v>
      </c>
      <c r="W33" s="20" t="s">
        <v>67</v>
      </c>
      <c r="X33" s="20" t="s">
        <v>35</v>
      </c>
      <c r="Y33" s="21" t="s">
        <v>36</v>
      </c>
      <c r="Z33" s="24" t="s">
        <v>68</v>
      </c>
      <c r="AA33" s="20" t="s">
        <v>69</v>
      </c>
      <c r="AB33" s="24" t="s">
        <v>69</v>
      </c>
      <c r="AC33" s="24"/>
      <c r="AD33" s="25" t="s">
        <v>70</v>
      </c>
      <c r="AE33" s="61" t="s">
        <v>71</v>
      </c>
      <c r="AF33" s="27" t="s">
        <v>72</v>
      </c>
    </row>
    <row r="34" ht="15.75" customHeight="1">
      <c r="A34" s="52">
        <v>2020.0</v>
      </c>
      <c r="B34" s="10" t="s">
        <v>31</v>
      </c>
      <c r="C34" s="59"/>
      <c r="D34" s="62" t="s">
        <v>73</v>
      </c>
      <c r="E34" s="63" t="s">
        <v>132</v>
      </c>
      <c r="F34" s="20" t="s">
        <v>75</v>
      </c>
      <c r="G34" s="20">
        <v>15.0</v>
      </c>
      <c r="H34" s="20" t="s">
        <v>35</v>
      </c>
      <c r="I34" s="21" t="s">
        <v>36</v>
      </c>
      <c r="J34" s="20" t="s">
        <v>37</v>
      </c>
      <c r="K34" s="20" t="s">
        <v>38</v>
      </c>
      <c r="L34" s="20" t="s">
        <v>39</v>
      </c>
      <c r="M34" s="20" t="s">
        <v>76</v>
      </c>
      <c r="N34" s="20" t="s">
        <v>77</v>
      </c>
      <c r="O34" s="20" t="s">
        <v>78</v>
      </c>
      <c r="P34" s="20" t="s">
        <v>42</v>
      </c>
      <c r="Q34" s="20" t="s">
        <v>79</v>
      </c>
      <c r="R34" s="30" t="s">
        <v>80</v>
      </c>
      <c r="S34" s="20" t="s">
        <v>81</v>
      </c>
      <c r="T34" s="23" t="s">
        <v>82</v>
      </c>
      <c r="U34" s="20" t="s">
        <v>83</v>
      </c>
      <c r="V34" s="24" t="s">
        <v>84</v>
      </c>
      <c r="W34" s="20" t="s">
        <v>85</v>
      </c>
      <c r="X34" s="20" t="s">
        <v>35</v>
      </c>
      <c r="Y34" s="21" t="s">
        <v>36</v>
      </c>
      <c r="Z34" s="24" t="s">
        <v>86</v>
      </c>
      <c r="AA34" s="20"/>
      <c r="AB34" s="24" t="s">
        <v>87</v>
      </c>
      <c r="AC34" s="24"/>
      <c r="AD34" s="17" t="s">
        <v>88</v>
      </c>
      <c r="AE34" s="58" t="s">
        <v>54</v>
      </c>
      <c r="AF34" s="19" t="s">
        <v>89</v>
      </c>
    </row>
    <row r="35" ht="15.75" customHeight="1">
      <c r="A35" s="52">
        <v>2020.0</v>
      </c>
      <c r="B35" s="10" t="s">
        <v>31</v>
      </c>
      <c r="C35" s="59"/>
      <c r="D35" s="54" t="s">
        <v>90</v>
      </c>
      <c r="E35" s="55" t="s">
        <v>179</v>
      </c>
      <c r="F35" s="20" t="s">
        <v>34</v>
      </c>
      <c r="G35" s="20">
        <v>15.0</v>
      </c>
      <c r="H35" s="20" t="s">
        <v>35</v>
      </c>
      <c r="I35" s="21" t="s">
        <v>36</v>
      </c>
      <c r="J35" s="20" t="s">
        <v>37</v>
      </c>
      <c r="K35" s="20" t="s">
        <v>38</v>
      </c>
      <c r="L35" s="20" t="s">
        <v>39</v>
      </c>
      <c r="M35" s="20"/>
      <c r="N35" s="20" t="s">
        <v>91</v>
      </c>
      <c r="O35" s="20" t="s">
        <v>92</v>
      </c>
      <c r="P35" s="20" t="s">
        <v>42</v>
      </c>
      <c r="Q35" s="20" t="s">
        <v>93</v>
      </c>
      <c r="R35" s="30" t="s">
        <v>44</v>
      </c>
      <c r="S35" s="20" t="s">
        <v>45</v>
      </c>
      <c r="T35" s="23" t="s">
        <v>94</v>
      </c>
      <c r="U35" s="20" t="s">
        <v>95</v>
      </c>
      <c r="V35" s="24" t="s">
        <v>48</v>
      </c>
      <c r="W35" s="55" t="s">
        <v>49</v>
      </c>
      <c r="X35" s="20" t="s">
        <v>35</v>
      </c>
      <c r="Y35" s="21" t="s">
        <v>36</v>
      </c>
      <c r="Z35" s="24"/>
      <c r="AA35" s="20"/>
      <c r="AB35" s="24" t="s">
        <v>96</v>
      </c>
      <c r="AC35" s="24"/>
      <c r="AD35" s="25" t="s">
        <v>97</v>
      </c>
      <c r="AE35" s="61" t="s">
        <v>54</v>
      </c>
      <c r="AF35" s="27" t="s">
        <v>98</v>
      </c>
    </row>
    <row r="36" ht="15.75" customHeight="1">
      <c r="A36" s="52">
        <v>2020.0</v>
      </c>
      <c r="B36" s="10" t="s">
        <v>31</v>
      </c>
      <c r="C36" s="59"/>
      <c r="D36" s="62" t="s">
        <v>99</v>
      </c>
      <c r="E36" s="63" t="s">
        <v>406</v>
      </c>
      <c r="F36" s="20" t="s">
        <v>101</v>
      </c>
      <c r="G36" s="20">
        <v>14.0</v>
      </c>
      <c r="H36" s="20" t="s">
        <v>102</v>
      </c>
      <c r="I36" s="21" t="s">
        <v>36</v>
      </c>
      <c r="J36" s="20" t="s">
        <v>37</v>
      </c>
      <c r="K36" s="20" t="s">
        <v>38</v>
      </c>
      <c r="L36" s="20" t="s">
        <v>39</v>
      </c>
      <c r="M36" s="20" t="s">
        <v>76</v>
      </c>
      <c r="N36" s="20" t="s">
        <v>103</v>
      </c>
      <c r="O36" s="20" t="s">
        <v>104</v>
      </c>
      <c r="P36" s="20" t="s">
        <v>42</v>
      </c>
      <c r="Q36" s="20" t="s">
        <v>105</v>
      </c>
      <c r="R36" s="30" t="s">
        <v>106</v>
      </c>
      <c r="S36" s="20" t="s">
        <v>107</v>
      </c>
      <c r="T36" s="23" t="s">
        <v>108</v>
      </c>
      <c r="U36" s="20" t="s">
        <v>109</v>
      </c>
      <c r="V36" s="24" t="s">
        <v>48</v>
      </c>
      <c r="W36" s="20" t="s">
        <v>110</v>
      </c>
      <c r="X36" s="20" t="s">
        <v>35</v>
      </c>
      <c r="Y36" s="21" t="s">
        <v>36</v>
      </c>
      <c r="Z36" s="20" t="s">
        <v>111</v>
      </c>
      <c r="AA36" s="20"/>
      <c r="AB36" s="24" t="s">
        <v>112</v>
      </c>
      <c r="AC36" s="24"/>
      <c r="AD36" s="17" t="s">
        <v>113</v>
      </c>
      <c r="AE36" s="58" t="s">
        <v>54</v>
      </c>
      <c r="AF36" s="19" t="s">
        <v>114</v>
      </c>
    </row>
    <row r="37" ht="15.75" customHeight="1">
      <c r="A37" s="52">
        <v>2020.0</v>
      </c>
      <c r="B37" s="10" t="s">
        <v>31</v>
      </c>
      <c r="C37" s="59"/>
      <c r="D37" s="62" t="s">
        <v>115</v>
      </c>
      <c r="E37" s="63" t="s">
        <v>405</v>
      </c>
      <c r="F37" s="20" t="s">
        <v>116</v>
      </c>
      <c r="G37" s="20">
        <v>15.0</v>
      </c>
      <c r="H37" s="20" t="s">
        <v>35</v>
      </c>
      <c r="I37" s="21" t="s">
        <v>36</v>
      </c>
      <c r="J37" s="20" t="s">
        <v>37</v>
      </c>
      <c r="K37" s="20" t="s">
        <v>38</v>
      </c>
      <c r="L37" s="20" t="s">
        <v>39</v>
      </c>
      <c r="M37" s="20" t="s">
        <v>117</v>
      </c>
      <c r="N37" s="20" t="s">
        <v>118</v>
      </c>
      <c r="O37" s="20" t="s">
        <v>119</v>
      </c>
      <c r="P37" s="20" t="s">
        <v>42</v>
      </c>
      <c r="Q37" s="20" t="s">
        <v>120</v>
      </c>
      <c r="R37" s="30" t="s">
        <v>121</v>
      </c>
      <c r="S37" s="20" t="s">
        <v>122</v>
      </c>
      <c r="T37" s="23" t="s">
        <v>123</v>
      </c>
      <c r="U37" s="20" t="s">
        <v>124</v>
      </c>
      <c r="V37" s="24" t="s">
        <v>48</v>
      </c>
      <c r="W37" s="20" t="s">
        <v>125</v>
      </c>
      <c r="X37" s="20" t="s">
        <v>35</v>
      </c>
      <c r="Y37" s="21" t="s">
        <v>36</v>
      </c>
      <c r="Z37" s="20" t="s">
        <v>126</v>
      </c>
      <c r="AA37" s="20"/>
      <c r="AB37" s="24" t="s">
        <v>127</v>
      </c>
      <c r="AC37" s="24"/>
      <c r="AD37" s="25" t="s">
        <v>128</v>
      </c>
      <c r="AE37" s="61" t="s">
        <v>54</v>
      </c>
      <c r="AF37" s="27" t="s">
        <v>129</v>
      </c>
    </row>
    <row r="38" ht="30.0" customHeight="1">
      <c r="A38" s="52">
        <v>2020.0</v>
      </c>
      <c r="B38" s="10" t="s">
        <v>130</v>
      </c>
      <c r="C38" s="59"/>
      <c r="D38" s="54" t="s">
        <v>131</v>
      </c>
      <c r="E38" s="55" t="s">
        <v>33</v>
      </c>
      <c r="F38" s="20" t="s">
        <v>133</v>
      </c>
      <c r="G38" s="20">
        <v>13.0</v>
      </c>
      <c r="H38" s="20" t="s">
        <v>35</v>
      </c>
      <c r="I38" s="21" t="s">
        <v>36</v>
      </c>
      <c r="J38" s="20" t="s">
        <v>37</v>
      </c>
      <c r="K38" s="20" t="s">
        <v>38</v>
      </c>
      <c r="L38" s="20" t="s">
        <v>39</v>
      </c>
      <c r="M38" s="20" t="s">
        <v>134</v>
      </c>
      <c r="N38" s="20" t="s">
        <v>135</v>
      </c>
      <c r="O38" s="20">
        <v>1.587248522E9</v>
      </c>
      <c r="P38" s="20" t="s">
        <v>42</v>
      </c>
      <c r="Q38" s="20" t="s">
        <v>136</v>
      </c>
      <c r="R38" s="30" t="s">
        <v>137</v>
      </c>
      <c r="S38" s="20" t="s">
        <v>138</v>
      </c>
      <c r="T38" s="23" t="s">
        <v>139</v>
      </c>
      <c r="U38" s="20" t="s">
        <v>140</v>
      </c>
      <c r="V38" s="24" t="s">
        <v>141</v>
      </c>
      <c r="W38" s="20" t="s">
        <v>142</v>
      </c>
      <c r="X38" s="20" t="s">
        <v>35</v>
      </c>
      <c r="Y38" s="21" t="s">
        <v>36</v>
      </c>
      <c r="Z38" s="24" t="s">
        <v>143</v>
      </c>
      <c r="AA38" s="20" t="s">
        <v>144</v>
      </c>
      <c r="AB38" s="24" t="s">
        <v>145</v>
      </c>
      <c r="AC38" s="24"/>
      <c r="AD38" s="25" t="s">
        <v>146</v>
      </c>
      <c r="AE38" s="61" t="s">
        <v>147</v>
      </c>
      <c r="AF38" s="27" t="s">
        <v>148</v>
      </c>
    </row>
    <row r="39" ht="15.75" customHeight="1">
      <c r="A39" s="52">
        <v>2020.0</v>
      </c>
      <c r="B39" s="10" t="s">
        <v>130</v>
      </c>
      <c r="C39" s="59"/>
      <c r="D39" s="54" t="s">
        <v>407</v>
      </c>
      <c r="E39" s="55" t="s">
        <v>179</v>
      </c>
      <c r="F39" s="32" t="s">
        <v>150</v>
      </c>
      <c r="G39" s="20">
        <v>15.0</v>
      </c>
      <c r="H39" s="20" t="s">
        <v>35</v>
      </c>
      <c r="I39" s="21" t="s">
        <v>36</v>
      </c>
      <c r="J39" s="20" t="s">
        <v>37</v>
      </c>
      <c r="K39" s="20" t="s">
        <v>38</v>
      </c>
      <c r="L39" s="20" t="s">
        <v>39</v>
      </c>
      <c r="M39" s="20"/>
      <c r="N39" s="20" t="s">
        <v>151</v>
      </c>
      <c r="O39" s="20" t="s">
        <v>152</v>
      </c>
      <c r="P39" s="20" t="s">
        <v>42</v>
      </c>
      <c r="Q39" s="20" t="s">
        <v>153</v>
      </c>
      <c r="R39" s="30" t="s">
        <v>154</v>
      </c>
      <c r="S39" s="20" t="s">
        <v>155</v>
      </c>
      <c r="T39" s="23" t="s">
        <v>156</v>
      </c>
      <c r="U39" s="20" t="s">
        <v>157</v>
      </c>
      <c r="V39" s="24" t="s">
        <v>141</v>
      </c>
      <c r="W39" s="20" t="s">
        <v>158</v>
      </c>
      <c r="X39" s="20" t="s">
        <v>35</v>
      </c>
      <c r="Y39" s="21" t="s">
        <v>36</v>
      </c>
      <c r="Z39" s="20" t="s">
        <v>159</v>
      </c>
      <c r="AA39" s="20" t="s">
        <v>160</v>
      </c>
      <c r="AB39" s="24" t="s">
        <v>161</v>
      </c>
      <c r="AC39" s="24"/>
      <c r="AD39" s="25" t="s">
        <v>162</v>
      </c>
      <c r="AE39" s="61" t="s">
        <v>163</v>
      </c>
      <c r="AF39" s="27" t="s">
        <v>164</v>
      </c>
    </row>
    <row r="40" ht="15.75" customHeight="1">
      <c r="A40" s="52">
        <v>2020.0</v>
      </c>
      <c r="B40" s="10" t="s">
        <v>130</v>
      </c>
      <c r="C40" s="59"/>
      <c r="D40" s="54" t="s">
        <v>165</v>
      </c>
      <c r="E40" s="55" t="s">
        <v>132</v>
      </c>
      <c r="F40" s="20" t="s">
        <v>166</v>
      </c>
      <c r="G40" s="20">
        <v>14.0</v>
      </c>
      <c r="H40" s="20" t="s">
        <v>35</v>
      </c>
      <c r="I40" s="21" t="s">
        <v>36</v>
      </c>
      <c r="J40" s="20" t="s">
        <v>37</v>
      </c>
      <c r="K40" s="20" t="s">
        <v>38</v>
      </c>
      <c r="L40" s="20" t="s">
        <v>39</v>
      </c>
      <c r="M40" s="20" t="s">
        <v>134</v>
      </c>
      <c r="N40" s="20" t="s">
        <v>167</v>
      </c>
      <c r="O40" s="20">
        <v>1.683708E7</v>
      </c>
      <c r="P40" s="20" t="s">
        <v>42</v>
      </c>
      <c r="Q40" s="20" t="s">
        <v>168</v>
      </c>
      <c r="R40" s="30" t="s">
        <v>169</v>
      </c>
      <c r="S40" s="20" t="s">
        <v>170</v>
      </c>
      <c r="T40" s="23" t="s">
        <v>171</v>
      </c>
      <c r="U40" s="20" t="s">
        <v>172</v>
      </c>
      <c r="V40" s="24" t="s">
        <v>141</v>
      </c>
      <c r="W40" s="20" t="s">
        <v>173</v>
      </c>
      <c r="X40" s="20" t="s">
        <v>35</v>
      </c>
      <c r="Y40" s="21" t="s">
        <v>36</v>
      </c>
      <c r="Z40" s="20" t="s">
        <v>174</v>
      </c>
      <c r="AA40" s="20"/>
      <c r="AB40" s="24" t="s">
        <v>175</v>
      </c>
      <c r="AC40" s="24"/>
      <c r="AD40" s="17" t="s">
        <v>176</v>
      </c>
      <c r="AE40" s="58" t="s">
        <v>147</v>
      </c>
      <c r="AF40" s="19" t="s">
        <v>177</v>
      </c>
    </row>
    <row r="41" ht="15.75" customHeight="1">
      <c r="A41" s="52">
        <v>2020.0</v>
      </c>
      <c r="B41" s="10" t="s">
        <v>130</v>
      </c>
      <c r="C41" s="59"/>
      <c r="D41" s="62" t="s">
        <v>408</v>
      </c>
      <c r="E41" s="63"/>
      <c r="F41" s="20" t="s">
        <v>409</v>
      </c>
      <c r="G41" s="20">
        <f>2020-2001</f>
        <v>19</v>
      </c>
      <c r="H41" s="20" t="s">
        <v>35</v>
      </c>
      <c r="I41" s="21" t="s">
        <v>36</v>
      </c>
      <c r="J41" s="20" t="s">
        <v>37</v>
      </c>
      <c r="K41" s="20" t="s">
        <v>38</v>
      </c>
      <c r="L41" s="20" t="s">
        <v>39</v>
      </c>
      <c r="M41" s="20"/>
      <c r="N41" s="20" t="s">
        <v>410</v>
      </c>
      <c r="O41" s="20" t="s">
        <v>411</v>
      </c>
      <c r="P41" s="20" t="s">
        <v>42</v>
      </c>
      <c r="Q41" s="20" t="s">
        <v>412</v>
      </c>
      <c r="R41" s="30"/>
      <c r="S41" s="20"/>
      <c r="T41" s="23" t="s">
        <v>413</v>
      </c>
      <c r="U41" s="20" t="s">
        <v>414</v>
      </c>
      <c r="V41" s="24" t="s">
        <v>252</v>
      </c>
      <c r="W41" s="20" t="s">
        <v>415</v>
      </c>
      <c r="X41" s="20" t="s">
        <v>35</v>
      </c>
      <c r="Y41" s="21" t="s">
        <v>36</v>
      </c>
      <c r="Z41" s="20"/>
      <c r="AA41" s="20"/>
      <c r="AB41" s="24" t="s">
        <v>416</v>
      </c>
      <c r="AC41" s="24"/>
      <c r="AD41" s="25" t="s">
        <v>417</v>
      </c>
      <c r="AE41" s="61" t="s">
        <v>54</v>
      </c>
      <c r="AF41" s="27" t="s">
        <v>418</v>
      </c>
    </row>
    <row r="42" ht="15.75" customHeight="1">
      <c r="A42" s="52">
        <v>2020.0</v>
      </c>
      <c r="B42" s="10" t="s">
        <v>130</v>
      </c>
      <c r="C42" s="59"/>
      <c r="D42" s="64" t="s">
        <v>419</v>
      </c>
      <c r="E42" s="55" t="s">
        <v>33</v>
      </c>
      <c r="F42" s="32" t="s">
        <v>420</v>
      </c>
      <c r="G42" s="20">
        <v>14.0</v>
      </c>
      <c r="H42" s="20" t="s">
        <v>35</v>
      </c>
      <c r="I42" s="21" t="s">
        <v>36</v>
      </c>
      <c r="J42" s="20" t="s">
        <v>421</v>
      </c>
      <c r="K42" s="20" t="s">
        <v>422</v>
      </c>
      <c r="L42" s="20" t="s">
        <v>423</v>
      </c>
      <c r="M42" s="20"/>
      <c r="N42" s="20" t="s">
        <v>424</v>
      </c>
      <c r="O42" s="20" t="s">
        <v>425</v>
      </c>
      <c r="P42" s="20" t="s">
        <v>42</v>
      </c>
      <c r="Q42" s="20" t="s">
        <v>426</v>
      </c>
      <c r="R42" s="65" t="s">
        <v>427</v>
      </c>
      <c r="S42" s="20" t="s">
        <v>428</v>
      </c>
      <c r="T42" s="23" t="s">
        <v>429</v>
      </c>
      <c r="U42" s="20" t="s">
        <v>430</v>
      </c>
      <c r="V42" s="24" t="s">
        <v>431</v>
      </c>
      <c r="W42" s="20" t="s">
        <v>432</v>
      </c>
      <c r="X42" s="20" t="s">
        <v>35</v>
      </c>
      <c r="Y42" s="21" t="s">
        <v>36</v>
      </c>
      <c r="Z42" s="20" t="s">
        <v>433</v>
      </c>
      <c r="AA42" s="20" t="s">
        <v>434</v>
      </c>
      <c r="AB42" s="24" t="s">
        <v>435</v>
      </c>
      <c r="AC42" s="24"/>
      <c r="AD42" s="66" t="s">
        <v>436</v>
      </c>
      <c r="AE42" s="61" t="s">
        <v>437</v>
      </c>
      <c r="AF42" s="27" t="s">
        <v>438</v>
      </c>
    </row>
    <row r="43" ht="15.75" customHeight="1">
      <c r="A43" s="52">
        <v>2020.0</v>
      </c>
      <c r="B43" s="10" t="s">
        <v>130</v>
      </c>
      <c r="C43" s="59"/>
      <c r="D43" s="54" t="s">
        <v>189</v>
      </c>
      <c r="E43" s="55" t="s">
        <v>132</v>
      </c>
      <c r="F43" s="32" t="s">
        <v>190</v>
      </c>
      <c r="G43" s="20">
        <v>12.0</v>
      </c>
      <c r="H43" s="20" t="s">
        <v>35</v>
      </c>
      <c r="I43" s="21" t="s">
        <v>36</v>
      </c>
      <c r="J43" s="20" t="s">
        <v>37</v>
      </c>
      <c r="K43" s="20" t="s">
        <v>38</v>
      </c>
      <c r="L43" s="20" t="s">
        <v>39</v>
      </c>
      <c r="M43" s="20" t="s">
        <v>76</v>
      </c>
      <c r="N43" s="20" t="s">
        <v>191</v>
      </c>
      <c r="O43" s="20" t="s">
        <v>192</v>
      </c>
      <c r="P43" s="20" t="s">
        <v>42</v>
      </c>
      <c r="Q43" s="20" t="s">
        <v>193</v>
      </c>
      <c r="R43" s="30" t="s">
        <v>194</v>
      </c>
      <c r="S43" s="20" t="s">
        <v>195</v>
      </c>
      <c r="T43" s="23" t="s">
        <v>196</v>
      </c>
      <c r="U43" s="20" t="s">
        <v>197</v>
      </c>
      <c r="V43" s="24" t="s">
        <v>141</v>
      </c>
      <c r="W43" s="20" t="s">
        <v>198</v>
      </c>
      <c r="X43" s="20" t="s">
        <v>35</v>
      </c>
      <c r="Y43" s="21" t="s">
        <v>36</v>
      </c>
      <c r="Z43" s="20" t="s">
        <v>199</v>
      </c>
      <c r="AA43" s="20"/>
      <c r="AB43" s="24" t="s">
        <v>200</v>
      </c>
      <c r="AC43" s="24"/>
      <c r="AD43" s="41" t="s">
        <v>201</v>
      </c>
      <c r="AE43" s="61" t="s">
        <v>147</v>
      </c>
      <c r="AF43" s="27" t="s">
        <v>202</v>
      </c>
    </row>
    <row r="44" ht="15.75" customHeight="1">
      <c r="A44" s="52">
        <v>2020.0</v>
      </c>
      <c r="B44" s="10" t="s">
        <v>130</v>
      </c>
      <c r="C44" s="59"/>
      <c r="D44" s="62" t="s">
        <v>203</v>
      </c>
      <c r="E44" s="63" t="s">
        <v>74</v>
      </c>
      <c r="F44" s="32" t="s">
        <v>190</v>
      </c>
      <c r="G44" s="20">
        <v>12.0</v>
      </c>
      <c r="H44" s="20" t="s">
        <v>205</v>
      </c>
      <c r="I44" s="21" t="s">
        <v>36</v>
      </c>
      <c r="J44" s="20" t="s">
        <v>37</v>
      </c>
      <c r="K44" s="20" t="s">
        <v>38</v>
      </c>
      <c r="L44" s="20" t="s">
        <v>39</v>
      </c>
      <c r="M44" s="20" t="s">
        <v>206</v>
      </c>
      <c r="N44" s="20" t="s">
        <v>207</v>
      </c>
      <c r="O44" s="20" t="s">
        <v>208</v>
      </c>
      <c r="P44" s="20" t="s">
        <v>42</v>
      </c>
      <c r="Q44" s="20" t="s">
        <v>209</v>
      </c>
      <c r="R44" s="30" t="s">
        <v>210</v>
      </c>
      <c r="S44" s="20" t="s">
        <v>211</v>
      </c>
      <c r="T44" s="23" t="s">
        <v>212</v>
      </c>
      <c r="U44" s="20" t="s">
        <v>213</v>
      </c>
      <c r="V44" s="24" t="s">
        <v>141</v>
      </c>
      <c r="W44" s="20" t="s">
        <v>214</v>
      </c>
      <c r="X44" s="20" t="s">
        <v>35</v>
      </c>
      <c r="Y44" s="21" t="s">
        <v>36</v>
      </c>
      <c r="Z44" s="20" t="s">
        <v>215</v>
      </c>
      <c r="AA44" s="20"/>
      <c r="AB44" s="24" t="s">
        <v>216</v>
      </c>
      <c r="AC44" s="24"/>
      <c r="AD44" s="25" t="s">
        <v>217</v>
      </c>
      <c r="AE44" s="61" t="s">
        <v>218</v>
      </c>
      <c r="AF44" s="27" t="s">
        <v>219</v>
      </c>
    </row>
    <row r="45" ht="15.75" customHeight="1">
      <c r="A45" s="52">
        <v>2020.0</v>
      </c>
      <c r="B45" s="10" t="s">
        <v>130</v>
      </c>
      <c r="C45" s="59"/>
      <c r="D45" s="54" t="s">
        <v>220</v>
      </c>
      <c r="E45" s="55" t="s">
        <v>132</v>
      </c>
      <c r="F45" s="20" t="s">
        <v>190</v>
      </c>
      <c r="G45" s="20">
        <f>2020-2008</f>
        <v>12</v>
      </c>
      <c r="H45" s="20" t="s">
        <v>35</v>
      </c>
      <c r="I45" s="21" t="s">
        <v>36</v>
      </c>
      <c r="J45" s="20" t="s">
        <v>37</v>
      </c>
      <c r="K45" s="20" t="s">
        <v>38</v>
      </c>
      <c r="L45" s="20" t="s">
        <v>39</v>
      </c>
      <c r="M45" s="20" t="s">
        <v>76</v>
      </c>
      <c r="N45" s="20" t="s">
        <v>221</v>
      </c>
      <c r="O45" s="20" t="s">
        <v>222</v>
      </c>
      <c r="P45" s="20" t="s">
        <v>42</v>
      </c>
      <c r="Q45" s="20" t="s">
        <v>193</v>
      </c>
      <c r="R45" s="30" t="s">
        <v>194</v>
      </c>
      <c r="S45" s="20" t="s">
        <v>195</v>
      </c>
      <c r="T45" s="23" t="s">
        <v>196</v>
      </c>
      <c r="U45" s="20" t="s">
        <v>197</v>
      </c>
      <c r="V45" s="24" t="s">
        <v>141</v>
      </c>
      <c r="W45" s="20" t="s">
        <v>198</v>
      </c>
      <c r="X45" s="20" t="s">
        <v>35</v>
      </c>
      <c r="Y45" s="21" t="s">
        <v>36</v>
      </c>
      <c r="Z45" s="20" t="s">
        <v>199</v>
      </c>
      <c r="AA45" s="20"/>
      <c r="AB45" s="24" t="s">
        <v>223</v>
      </c>
      <c r="AC45" s="24"/>
      <c r="AD45" s="44"/>
      <c r="AE45" s="61" t="s">
        <v>147</v>
      </c>
      <c r="AF45" s="27" t="s">
        <v>224</v>
      </c>
    </row>
    <row r="46" ht="37.5" customHeight="1">
      <c r="A46" s="52">
        <v>2020.0</v>
      </c>
      <c r="B46" s="10" t="s">
        <v>225</v>
      </c>
      <c r="C46" s="53"/>
      <c r="D46" s="54" t="s">
        <v>439</v>
      </c>
      <c r="E46" s="55" t="s">
        <v>33</v>
      </c>
      <c r="F46" s="20" t="s">
        <v>420</v>
      </c>
      <c r="G46" s="20">
        <v>14.0</v>
      </c>
      <c r="H46" s="20" t="s">
        <v>440</v>
      </c>
      <c r="I46" s="21" t="s">
        <v>36</v>
      </c>
      <c r="J46" s="20" t="s">
        <v>421</v>
      </c>
      <c r="K46" s="20" t="s">
        <v>422</v>
      </c>
      <c r="L46" s="20" t="s">
        <v>423</v>
      </c>
      <c r="M46" s="20"/>
      <c r="N46" s="20" t="s">
        <v>441</v>
      </c>
      <c r="O46" s="20" t="s">
        <v>442</v>
      </c>
      <c r="P46" s="20" t="s">
        <v>42</v>
      </c>
      <c r="Q46" s="20" t="s">
        <v>443</v>
      </c>
      <c r="R46" s="23" t="s">
        <v>444</v>
      </c>
      <c r="S46" s="20" t="s">
        <v>445</v>
      </c>
      <c r="T46" s="23" t="s">
        <v>446</v>
      </c>
      <c r="U46" s="20" t="s">
        <v>447</v>
      </c>
      <c r="V46" s="24" t="s">
        <v>252</v>
      </c>
      <c r="W46" s="20" t="s">
        <v>448</v>
      </c>
      <c r="X46" s="20" t="s">
        <v>35</v>
      </c>
      <c r="Y46" s="21" t="s">
        <v>36</v>
      </c>
      <c r="Z46" s="20" t="s">
        <v>449</v>
      </c>
      <c r="AA46" s="20" t="s">
        <v>450</v>
      </c>
      <c r="AB46" s="24" t="s">
        <v>451</v>
      </c>
      <c r="AC46" s="24"/>
      <c r="AD46" s="67" t="s">
        <v>452</v>
      </c>
      <c r="AE46" s="58" t="s">
        <v>453</v>
      </c>
      <c r="AF46" s="19" t="s">
        <v>454</v>
      </c>
    </row>
    <row r="47" ht="15.75" customHeight="1">
      <c r="A47" s="52">
        <v>2020.0</v>
      </c>
      <c r="B47" s="10" t="s">
        <v>225</v>
      </c>
      <c r="C47" s="53"/>
      <c r="D47" s="62" t="s">
        <v>228</v>
      </c>
      <c r="E47" s="55" t="s">
        <v>33</v>
      </c>
      <c r="F47" s="32" t="s">
        <v>229</v>
      </c>
      <c r="G47" s="20">
        <v>13.0</v>
      </c>
      <c r="H47" s="20" t="s">
        <v>35</v>
      </c>
      <c r="I47" s="21" t="s">
        <v>36</v>
      </c>
      <c r="J47" s="20" t="s">
        <v>37</v>
      </c>
      <c r="K47" s="20" t="s">
        <v>38</v>
      </c>
      <c r="L47" s="20" t="s">
        <v>39</v>
      </c>
      <c r="M47" s="20"/>
      <c r="N47" s="20" t="s">
        <v>230</v>
      </c>
      <c r="O47" s="20">
        <v>2.142702465E9</v>
      </c>
      <c r="P47" s="20" t="s">
        <v>42</v>
      </c>
      <c r="Q47" s="20" t="s">
        <v>231</v>
      </c>
      <c r="R47" s="30" t="s">
        <v>232</v>
      </c>
      <c r="S47" s="20" t="s">
        <v>233</v>
      </c>
      <c r="T47" s="23" t="s">
        <v>234</v>
      </c>
      <c r="U47" s="20" t="s">
        <v>235</v>
      </c>
      <c r="V47" s="24" t="str">
        <f>V44</f>
        <v>Eng. Velho da Federação</v>
      </c>
      <c r="W47" s="20" t="s">
        <v>236</v>
      </c>
      <c r="X47" s="20" t="s">
        <v>35</v>
      </c>
      <c r="Y47" s="21" t="s">
        <v>36</v>
      </c>
      <c r="Z47" s="20" t="s">
        <v>237</v>
      </c>
      <c r="AA47" s="20"/>
      <c r="AB47" s="24" t="s">
        <v>455</v>
      </c>
      <c r="AC47" s="24"/>
      <c r="AD47" s="17" t="s">
        <v>238</v>
      </c>
      <c r="AE47" s="58" t="s">
        <v>147</v>
      </c>
      <c r="AF47" s="19" t="s">
        <v>239</v>
      </c>
    </row>
    <row r="48" ht="15.75" customHeight="1">
      <c r="A48" s="52">
        <v>2020.0</v>
      </c>
      <c r="B48" s="10" t="s">
        <v>225</v>
      </c>
      <c r="C48" s="59"/>
      <c r="D48" s="54" t="s">
        <v>456</v>
      </c>
      <c r="E48" s="55" t="s">
        <v>33</v>
      </c>
      <c r="F48" s="20" t="s">
        <v>457</v>
      </c>
      <c r="G48" s="20">
        <v>13.0</v>
      </c>
      <c r="H48" s="20" t="s">
        <v>35</v>
      </c>
      <c r="I48" s="21" t="s">
        <v>36</v>
      </c>
      <c r="J48" s="20" t="s">
        <v>421</v>
      </c>
      <c r="K48" s="20" t="s">
        <v>422</v>
      </c>
      <c r="L48" s="20" t="s">
        <v>423</v>
      </c>
      <c r="M48" s="20" t="s">
        <v>458</v>
      </c>
      <c r="N48" s="20" t="s">
        <v>459</v>
      </c>
      <c r="O48" s="20" t="s">
        <v>460</v>
      </c>
      <c r="P48" s="20" t="s">
        <v>42</v>
      </c>
      <c r="Q48" s="20" t="s">
        <v>461</v>
      </c>
      <c r="R48" s="30" t="s">
        <v>462</v>
      </c>
      <c r="S48" s="20" t="s">
        <v>463</v>
      </c>
      <c r="T48" s="23" t="s">
        <v>464</v>
      </c>
      <c r="U48" s="20" t="s">
        <v>465</v>
      </c>
      <c r="V48" s="24" t="s">
        <v>466</v>
      </c>
      <c r="W48" s="20" t="s">
        <v>467</v>
      </c>
      <c r="X48" s="20" t="s">
        <v>35</v>
      </c>
      <c r="Y48" s="21" t="s">
        <v>36</v>
      </c>
      <c r="Z48" s="20" t="s">
        <v>468</v>
      </c>
      <c r="AA48" s="20"/>
      <c r="AB48" s="24" t="s">
        <v>469</v>
      </c>
      <c r="AC48" s="24"/>
      <c r="AD48" s="44"/>
      <c r="AE48" s="44"/>
      <c r="AF48" s="44"/>
    </row>
    <row r="49" ht="15.75" customHeight="1">
      <c r="A49" s="52">
        <v>2020.0</v>
      </c>
      <c r="B49" s="10" t="s">
        <v>225</v>
      </c>
      <c r="C49" s="59"/>
      <c r="D49" s="62" t="s">
        <v>243</v>
      </c>
      <c r="E49" s="63" t="s">
        <v>33</v>
      </c>
      <c r="F49" s="20" t="s">
        <v>244</v>
      </c>
      <c r="G49" s="20">
        <v>14.0</v>
      </c>
      <c r="H49" s="20" t="s">
        <v>35</v>
      </c>
      <c r="I49" s="21" t="s">
        <v>36</v>
      </c>
      <c r="J49" s="20" t="s">
        <v>37</v>
      </c>
      <c r="K49" s="20" t="s">
        <v>38</v>
      </c>
      <c r="L49" s="20" t="s">
        <v>39</v>
      </c>
      <c r="M49" s="20" t="s">
        <v>134</v>
      </c>
      <c r="N49" s="20" t="s">
        <v>245</v>
      </c>
      <c r="O49" s="20" t="s">
        <v>246</v>
      </c>
      <c r="P49" s="20" t="s">
        <v>42</v>
      </c>
      <c r="Q49" s="20" t="s">
        <v>247</v>
      </c>
      <c r="R49" s="30" t="s">
        <v>248</v>
      </c>
      <c r="S49" s="20" t="s">
        <v>249</v>
      </c>
      <c r="T49" s="23" t="s">
        <v>250</v>
      </c>
      <c r="U49" s="20" t="s">
        <v>251</v>
      </c>
      <c r="V49" s="24" t="s">
        <v>252</v>
      </c>
      <c r="W49" s="20" t="s">
        <v>253</v>
      </c>
      <c r="X49" s="20" t="s">
        <v>35</v>
      </c>
      <c r="Y49" s="21" t="s">
        <v>36</v>
      </c>
      <c r="Z49" s="20" t="s">
        <v>254</v>
      </c>
      <c r="AA49" s="20"/>
      <c r="AB49" s="24" t="s">
        <v>255</v>
      </c>
      <c r="AC49" s="24"/>
      <c r="AD49" s="17" t="s">
        <v>256</v>
      </c>
      <c r="AE49" s="58" t="s">
        <v>147</v>
      </c>
      <c r="AF49" s="19" t="s">
        <v>257</v>
      </c>
    </row>
    <row r="50" ht="15.75" customHeight="1">
      <c r="A50" s="52">
        <v>2020.0</v>
      </c>
      <c r="B50" s="10" t="s">
        <v>225</v>
      </c>
      <c r="C50" s="53"/>
      <c r="D50" s="54" t="s">
        <v>258</v>
      </c>
      <c r="E50" s="60" t="s">
        <v>406</v>
      </c>
      <c r="F50" s="20" t="s">
        <v>259</v>
      </c>
      <c r="G50" s="68">
        <f t="shared" ref="G50:G60" si="1">DATEDIF(F50,"31/12/2020","Y")</f>
        <v>13</v>
      </c>
      <c r="H50" s="20" t="s">
        <v>35</v>
      </c>
      <c r="I50" s="21" t="s">
        <v>36</v>
      </c>
      <c r="J50" s="20" t="s">
        <v>37</v>
      </c>
      <c r="K50" s="20" t="s">
        <v>38</v>
      </c>
      <c r="L50" s="20" t="s">
        <v>39</v>
      </c>
      <c r="M50" s="20" t="s">
        <v>206</v>
      </c>
      <c r="N50" s="20" t="s">
        <v>260</v>
      </c>
      <c r="O50" s="20" t="s">
        <v>261</v>
      </c>
      <c r="P50" s="20" t="s">
        <v>42</v>
      </c>
      <c r="Q50" s="20" t="s">
        <v>262</v>
      </c>
      <c r="R50" s="30" t="s">
        <v>263</v>
      </c>
      <c r="S50" s="20" t="s">
        <v>63</v>
      </c>
      <c r="T50" s="23" t="s">
        <v>264</v>
      </c>
      <c r="U50" s="20" t="s">
        <v>213</v>
      </c>
      <c r="V50" s="24" t="s">
        <v>252</v>
      </c>
      <c r="W50" s="20" t="s">
        <v>265</v>
      </c>
      <c r="X50" s="20" t="s">
        <v>35</v>
      </c>
      <c r="Y50" s="21" t="s">
        <v>36</v>
      </c>
      <c r="Z50" s="24" t="s">
        <v>266</v>
      </c>
      <c r="AA50" s="20" t="s">
        <v>267</v>
      </c>
      <c r="AB50" s="24" t="s">
        <v>268</v>
      </c>
      <c r="AC50" s="24"/>
      <c r="AD50" s="25" t="s">
        <v>269</v>
      </c>
      <c r="AE50" s="61" t="s">
        <v>147</v>
      </c>
      <c r="AF50" s="27" t="s">
        <v>270</v>
      </c>
    </row>
    <row r="51" ht="15.75" customHeight="1">
      <c r="A51" s="52">
        <v>2020.0</v>
      </c>
      <c r="B51" s="10" t="s">
        <v>271</v>
      </c>
      <c r="C51" s="53"/>
      <c r="D51" s="62" t="s">
        <v>470</v>
      </c>
      <c r="E51" s="63"/>
      <c r="F51" s="20" t="s">
        <v>471</v>
      </c>
      <c r="G51" s="68">
        <f t="shared" si="1"/>
        <v>11</v>
      </c>
      <c r="H51" s="20" t="s">
        <v>472</v>
      </c>
      <c r="I51" s="21" t="s">
        <v>36</v>
      </c>
      <c r="J51" s="20" t="s">
        <v>37</v>
      </c>
      <c r="K51" s="20" t="s">
        <v>422</v>
      </c>
      <c r="L51" s="20" t="s">
        <v>423</v>
      </c>
      <c r="M51" s="20" t="s">
        <v>76</v>
      </c>
      <c r="N51" s="20" t="s">
        <v>473</v>
      </c>
      <c r="O51" s="20" t="s">
        <v>474</v>
      </c>
      <c r="P51" s="20" t="s">
        <v>42</v>
      </c>
      <c r="Q51" s="20" t="s">
        <v>475</v>
      </c>
      <c r="R51" s="30" t="s">
        <v>476</v>
      </c>
      <c r="S51" s="20" t="s">
        <v>473</v>
      </c>
      <c r="T51" s="23" t="s">
        <v>477</v>
      </c>
      <c r="U51" s="24" t="s">
        <v>478</v>
      </c>
      <c r="V51" s="24" t="s">
        <v>479</v>
      </c>
      <c r="W51" s="20" t="s">
        <v>480</v>
      </c>
      <c r="X51" s="20" t="s">
        <v>35</v>
      </c>
      <c r="Y51" s="21" t="s">
        <v>36</v>
      </c>
      <c r="Z51" s="24" t="s">
        <v>481</v>
      </c>
      <c r="AA51" s="20"/>
      <c r="AB51" s="24" t="s">
        <v>482</v>
      </c>
      <c r="AC51" s="24"/>
      <c r="AD51" s="25" t="s">
        <v>483</v>
      </c>
      <c r="AE51" s="61" t="s">
        <v>484</v>
      </c>
      <c r="AF51" s="27" t="s">
        <v>485</v>
      </c>
    </row>
    <row r="52" ht="15.75" customHeight="1">
      <c r="A52" s="52">
        <v>2020.0</v>
      </c>
      <c r="B52" s="10" t="s">
        <v>271</v>
      </c>
      <c r="C52" s="53"/>
      <c r="D52" s="54" t="s">
        <v>274</v>
      </c>
      <c r="E52" s="55" t="s">
        <v>132</v>
      </c>
      <c r="F52" s="20" t="s">
        <v>275</v>
      </c>
      <c r="G52" s="68">
        <f t="shared" si="1"/>
        <v>14</v>
      </c>
      <c r="H52" s="20" t="s">
        <v>35</v>
      </c>
      <c r="I52" s="21" t="s">
        <v>36</v>
      </c>
      <c r="J52" s="20" t="s">
        <v>37</v>
      </c>
      <c r="K52" s="20" t="s">
        <v>38</v>
      </c>
      <c r="L52" s="20" t="s">
        <v>39</v>
      </c>
      <c r="M52" s="20" t="s">
        <v>134</v>
      </c>
      <c r="N52" s="20" t="s">
        <v>276</v>
      </c>
      <c r="O52" s="20">
        <v>1.662362765E9</v>
      </c>
      <c r="P52" s="20" t="s">
        <v>42</v>
      </c>
      <c r="Q52" s="20" t="s">
        <v>277</v>
      </c>
      <c r="R52" s="30" t="s">
        <v>278</v>
      </c>
      <c r="S52" s="20" t="s">
        <v>279</v>
      </c>
      <c r="T52" s="23" t="s">
        <v>280</v>
      </c>
      <c r="U52" s="20" t="s">
        <v>281</v>
      </c>
      <c r="V52" s="24" t="s">
        <v>282</v>
      </c>
      <c r="W52" s="20" t="s">
        <v>283</v>
      </c>
      <c r="X52" s="20" t="s">
        <v>35</v>
      </c>
      <c r="Y52" s="21" t="s">
        <v>36</v>
      </c>
      <c r="Z52" s="20" t="s">
        <v>284</v>
      </c>
      <c r="AA52" s="20" t="s">
        <v>285</v>
      </c>
      <c r="AB52" s="24" t="s">
        <v>286</v>
      </c>
      <c r="AC52" s="24"/>
      <c r="AD52" s="25" t="s">
        <v>287</v>
      </c>
      <c r="AE52" s="61" t="s">
        <v>218</v>
      </c>
      <c r="AF52" s="27" t="s">
        <v>288</v>
      </c>
    </row>
    <row r="53" ht="15.75" customHeight="1">
      <c r="A53" s="52">
        <v>2020.0</v>
      </c>
      <c r="B53" s="10" t="s">
        <v>271</v>
      </c>
      <c r="C53" s="59"/>
      <c r="D53" s="54" t="s">
        <v>289</v>
      </c>
      <c r="E53" s="55" t="s">
        <v>33</v>
      </c>
      <c r="F53" s="20" t="s">
        <v>290</v>
      </c>
      <c r="G53" s="68">
        <f t="shared" si="1"/>
        <v>14</v>
      </c>
      <c r="H53" s="20" t="s">
        <v>35</v>
      </c>
      <c r="I53" s="21" t="s">
        <v>36</v>
      </c>
      <c r="J53" s="20" t="s">
        <v>37</v>
      </c>
      <c r="K53" s="20" t="s">
        <v>38</v>
      </c>
      <c r="L53" s="20" t="s">
        <v>39</v>
      </c>
      <c r="M53" s="20"/>
      <c r="N53" s="20" t="s">
        <v>291</v>
      </c>
      <c r="O53" s="20">
        <v>2.174513811E9</v>
      </c>
      <c r="P53" s="20" t="s">
        <v>42</v>
      </c>
      <c r="Q53" s="20" t="s">
        <v>292</v>
      </c>
      <c r="R53" s="30" t="s">
        <v>293</v>
      </c>
      <c r="S53" s="20" t="s">
        <v>294</v>
      </c>
      <c r="T53" s="23" t="s">
        <v>295</v>
      </c>
      <c r="U53" s="20" t="s">
        <v>296</v>
      </c>
      <c r="V53" s="24" t="s">
        <v>252</v>
      </c>
      <c r="W53" s="20" t="s">
        <v>297</v>
      </c>
      <c r="X53" s="20" t="s">
        <v>35</v>
      </c>
      <c r="Y53" s="21" t="s">
        <v>36</v>
      </c>
      <c r="Z53" s="24" t="s">
        <v>298</v>
      </c>
      <c r="AA53" s="20" t="s">
        <v>299</v>
      </c>
      <c r="AB53" s="24" t="s">
        <v>300</v>
      </c>
      <c r="AC53" s="24"/>
      <c r="AD53" s="17" t="s">
        <v>301</v>
      </c>
      <c r="AE53" s="58" t="s">
        <v>302</v>
      </c>
      <c r="AF53" s="19" t="s">
        <v>303</v>
      </c>
    </row>
    <row r="54" ht="15.75" customHeight="1">
      <c r="A54" s="52">
        <v>2020.0</v>
      </c>
      <c r="B54" s="10" t="s">
        <v>271</v>
      </c>
      <c r="C54" s="59"/>
      <c r="D54" s="54" t="s">
        <v>306</v>
      </c>
      <c r="E54" s="55" t="s">
        <v>33</v>
      </c>
      <c r="F54" s="20" t="s">
        <v>307</v>
      </c>
      <c r="G54" s="68">
        <f t="shared" si="1"/>
        <v>13</v>
      </c>
      <c r="H54" s="20" t="s">
        <v>35</v>
      </c>
      <c r="I54" s="21" t="s">
        <v>36</v>
      </c>
      <c r="J54" s="20" t="s">
        <v>37</v>
      </c>
      <c r="K54" s="20" t="s">
        <v>38</v>
      </c>
      <c r="L54" s="20" t="s">
        <v>39</v>
      </c>
      <c r="M54" s="20"/>
      <c r="N54" s="20" t="s">
        <v>308</v>
      </c>
      <c r="O54" s="20" t="s">
        <v>309</v>
      </c>
      <c r="P54" s="20" t="s">
        <v>42</v>
      </c>
      <c r="Q54" s="20" t="s">
        <v>310</v>
      </c>
      <c r="R54" s="30" t="s">
        <v>311</v>
      </c>
      <c r="S54" s="20" t="s">
        <v>312</v>
      </c>
      <c r="T54" s="23" t="s">
        <v>313</v>
      </c>
      <c r="U54" s="24" t="s">
        <v>314</v>
      </c>
      <c r="V54" s="24" t="s">
        <v>315</v>
      </c>
      <c r="W54" s="20" t="s">
        <v>316</v>
      </c>
      <c r="X54" s="20" t="s">
        <v>35</v>
      </c>
      <c r="Y54" s="21" t="s">
        <v>36</v>
      </c>
      <c r="Z54" s="24" t="s">
        <v>317</v>
      </c>
      <c r="AA54" s="20"/>
      <c r="AB54" s="24" t="s">
        <v>318</v>
      </c>
      <c r="AC54" s="24"/>
      <c r="AD54" s="25" t="s">
        <v>319</v>
      </c>
      <c r="AE54" s="61" t="s">
        <v>320</v>
      </c>
      <c r="AF54" s="27" t="s">
        <v>321</v>
      </c>
    </row>
    <row r="55" ht="15.75" customHeight="1">
      <c r="A55" s="52">
        <v>2020.0</v>
      </c>
      <c r="B55" s="10" t="s">
        <v>271</v>
      </c>
      <c r="C55" s="53"/>
      <c r="D55" s="62" t="s">
        <v>322</v>
      </c>
      <c r="E55" s="63" t="s">
        <v>33</v>
      </c>
      <c r="F55" s="20" t="s">
        <v>323</v>
      </c>
      <c r="G55" s="68">
        <f t="shared" si="1"/>
        <v>14</v>
      </c>
      <c r="H55" s="20" t="s">
        <v>324</v>
      </c>
      <c r="I55" s="21" t="s">
        <v>36</v>
      </c>
      <c r="J55" s="20" t="s">
        <v>37</v>
      </c>
      <c r="K55" s="20" t="s">
        <v>38</v>
      </c>
      <c r="L55" s="20" t="s">
        <v>39</v>
      </c>
      <c r="M55" s="20"/>
      <c r="N55" s="20" t="s">
        <v>325</v>
      </c>
      <c r="O55" s="20" t="s">
        <v>326</v>
      </c>
      <c r="P55" s="20" t="s">
        <v>42</v>
      </c>
      <c r="Q55" s="20" t="s">
        <v>327</v>
      </c>
      <c r="R55" s="30" t="s">
        <v>328</v>
      </c>
      <c r="S55" s="20" t="s">
        <v>329</v>
      </c>
      <c r="T55" s="23" t="s">
        <v>330</v>
      </c>
      <c r="U55" s="20" t="s">
        <v>331</v>
      </c>
      <c r="V55" s="24" t="s">
        <v>332</v>
      </c>
      <c r="W55" s="20" t="s">
        <v>333</v>
      </c>
      <c r="X55" s="20" t="s">
        <v>334</v>
      </c>
      <c r="Y55" s="21" t="s">
        <v>36</v>
      </c>
      <c r="Z55" s="24" t="s">
        <v>335</v>
      </c>
      <c r="AA55" s="20"/>
      <c r="AB55" s="24" t="s">
        <v>336</v>
      </c>
      <c r="AC55" s="24"/>
      <c r="AD55" s="69" t="s">
        <v>337</v>
      </c>
      <c r="AE55" s="58" t="s">
        <v>338</v>
      </c>
      <c r="AF55" s="19" t="s">
        <v>339</v>
      </c>
    </row>
    <row r="56" ht="45.0" customHeight="1">
      <c r="A56" s="52">
        <v>2020.0</v>
      </c>
      <c r="B56" s="10" t="s">
        <v>340</v>
      </c>
      <c r="C56" s="53"/>
      <c r="D56" s="62" t="s">
        <v>341</v>
      </c>
      <c r="E56" s="63" t="s">
        <v>486</v>
      </c>
      <c r="F56" s="20" t="s">
        <v>342</v>
      </c>
      <c r="G56" s="68">
        <f t="shared" si="1"/>
        <v>13</v>
      </c>
      <c r="H56" s="20" t="s">
        <v>343</v>
      </c>
      <c r="I56" s="24" t="s">
        <v>344</v>
      </c>
      <c r="J56" s="20" t="s">
        <v>37</v>
      </c>
      <c r="K56" s="20" t="s">
        <v>38</v>
      </c>
      <c r="L56" s="20" t="s">
        <v>39</v>
      </c>
      <c r="M56" s="20" t="s">
        <v>134</v>
      </c>
      <c r="N56" s="20" t="s">
        <v>345</v>
      </c>
      <c r="O56" s="20" t="s">
        <v>346</v>
      </c>
      <c r="P56" s="20" t="s">
        <v>347</v>
      </c>
      <c r="Q56" s="20" t="s">
        <v>348</v>
      </c>
      <c r="R56" s="30" t="s">
        <v>349</v>
      </c>
      <c r="S56" s="20" t="s">
        <v>350</v>
      </c>
      <c r="T56" s="23" t="s">
        <v>351</v>
      </c>
      <c r="U56" s="20" t="s">
        <v>352</v>
      </c>
      <c r="V56" s="24" t="s">
        <v>353</v>
      </c>
      <c r="W56" s="20" t="s">
        <v>354</v>
      </c>
      <c r="X56" s="20" t="s">
        <v>35</v>
      </c>
      <c r="Y56" s="21" t="s">
        <v>36</v>
      </c>
      <c r="Z56" s="20" t="s">
        <v>284</v>
      </c>
      <c r="AA56" s="20" t="s">
        <v>355</v>
      </c>
      <c r="AB56" s="24" t="s">
        <v>356</v>
      </c>
      <c r="AC56" s="24"/>
      <c r="AD56" s="25" t="s">
        <v>357</v>
      </c>
      <c r="AE56" s="61" t="s">
        <v>147</v>
      </c>
      <c r="AF56" s="27" t="s">
        <v>358</v>
      </c>
    </row>
    <row r="57" ht="15.75" customHeight="1">
      <c r="A57" s="52">
        <v>2020.0</v>
      </c>
      <c r="B57" s="10" t="s">
        <v>340</v>
      </c>
      <c r="C57" s="59"/>
      <c r="D57" s="54" t="s">
        <v>359</v>
      </c>
      <c r="E57" s="55" t="s">
        <v>179</v>
      </c>
      <c r="F57" s="20" t="s">
        <v>360</v>
      </c>
      <c r="G57" s="68">
        <f t="shared" si="1"/>
        <v>15</v>
      </c>
      <c r="H57" s="20" t="s">
        <v>361</v>
      </c>
      <c r="I57" s="20" t="s">
        <v>362</v>
      </c>
      <c r="J57" s="20" t="s">
        <v>37</v>
      </c>
      <c r="K57" s="20" t="s">
        <v>38</v>
      </c>
      <c r="L57" s="20" t="s">
        <v>39</v>
      </c>
      <c r="M57" s="20" t="s">
        <v>76</v>
      </c>
      <c r="N57" s="20" t="s">
        <v>363</v>
      </c>
      <c r="O57" s="20">
        <v>3949800.0</v>
      </c>
      <c r="P57" s="20" t="s">
        <v>364</v>
      </c>
      <c r="Q57" s="20" t="s">
        <v>365</v>
      </c>
      <c r="R57" s="30" t="s">
        <v>366</v>
      </c>
      <c r="S57" s="20" t="s">
        <v>367</v>
      </c>
      <c r="T57" s="23" t="s">
        <v>212</v>
      </c>
      <c r="U57" s="20" t="s">
        <v>368</v>
      </c>
      <c r="V57" s="24" t="s">
        <v>369</v>
      </c>
      <c r="W57" s="20" t="s">
        <v>370</v>
      </c>
      <c r="X57" s="20" t="s">
        <v>50</v>
      </c>
      <c r="Y57" s="21" t="s">
        <v>36</v>
      </c>
      <c r="Z57" s="20" t="s">
        <v>371</v>
      </c>
      <c r="AA57" s="20"/>
      <c r="AB57" s="24" t="s">
        <v>372</v>
      </c>
      <c r="AC57" s="24"/>
      <c r="AD57" s="25" t="s">
        <v>373</v>
      </c>
      <c r="AE57" s="61" t="s">
        <v>71</v>
      </c>
      <c r="AF57" s="27" t="s">
        <v>374</v>
      </c>
    </row>
    <row r="58" ht="15.75" customHeight="1">
      <c r="A58" s="52">
        <v>2020.0</v>
      </c>
      <c r="B58" s="10" t="s">
        <v>340</v>
      </c>
      <c r="C58" s="59"/>
      <c r="D58" s="62" t="s">
        <v>375</v>
      </c>
      <c r="E58" s="63" t="s">
        <v>179</v>
      </c>
      <c r="F58" s="24" t="s">
        <v>376</v>
      </c>
      <c r="G58" s="68">
        <f t="shared" si="1"/>
        <v>14</v>
      </c>
      <c r="H58" s="24" t="s">
        <v>35</v>
      </c>
      <c r="I58" s="50" t="s">
        <v>36</v>
      </c>
      <c r="J58" s="24" t="s">
        <v>37</v>
      </c>
      <c r="K58" s="24" t="s">
        <v>38</v>
      </c>
      <c r="L58" s="24" t="s">
        <v>39</v>
      </c>
      <c r="M58" s="24" t="s">
        <v>76</v>
      </c>
      <c r="N58" s="24" t="s">
        <v>377</v>
      </c>
      <c r="O58" s="24" t="s">
        <v>378</v>
      </c>
      <c r="P58" s="24" t="s">
        <v>42</v>
      </c>
      <c r="Q58" s="24" t="s">
        <v>379</v>
      </c>
      <c r="R58" s="23" t="s">
        <v>380</v>
      </c>
      <c r="S58" s="24" t="s">
        <v>381</v>
      </c>
      <c r="T58" s="23" t="s">
        <v>382</v>
      </c>
      <c r="U58" s="24" t="s">
        <v>383</v>
      </c>
      <c r="V58" s="24" t="s">
        <v>384</v>
      </c>
      <c r="W58" s="23" t="s">
        <v>385</v>
      </c>
      <c r="X58" s="24" t="s">
        <v>35</v>
      </c>
      <c r="Y58" s="50" t="s">
        <v>36</v>
      </c>
      <c r="Z58" s="24" t="s">
        <v>371</v>
      </c>
      <c r="AA58" s="24"/>
      <c r="AB58" s="24" t="s">
        <v>386</v>
      </c>
      <c r="AC58" s="24"/>
      <c r="AD58" s="25" t="s">
        <v>387</v>
      </c>
      <c r="AE58" s="61" t="s">
        <v>71</v>
      </c>
      <c r="AF58" s="26" t="s">
        <v>388</v>
      </c>
    </row>
    <row r="59" ht="15.75" customHeight="1">
      <c r="A59" s="52">
        <v>2020.0</v>
      </c>
      <c r="B59" s="10" t="s">
        <v>340</v>
      </c>
      <c r="C59" s="59"/>
      <c r="D59" s="54" t="s">
        <v>389</v>
      </c>
      <c r="E59" s="55" t="s">
        <v>179</v>
      </c>
      <c r="F59" s="20" t="s">
        <v>391</v>
      </c>
      <c r="G59" s="68">
        <f t="shared" si="1"/>
        <v>14</v>
      </c>
      <c r="H59" s="20" t="s">
        <v>35</v>
      </c>
      <c r="I59" s="21" t="s">
        <v>36</v>
      </c>
      <c r="J59" s="20" t="s">
        <v>37</v>
      </c>
      <c r="K59" s="20" t="s">
        <v>38</v>
      </c>
      <c r="L59" s="20" t="s">
        <v>39</v>
      </c>
      <c r="M59" s="20"/>
      <c r="N59" s="20" t="s">
        <v>392</v>
      </c>
      <c r="O59" s="20" t="s">
        <v>393</v>
      </c>
      <c r="P59" s="20" t="s">
        <v>394</v>
      </c>
      <c r="Q59" s="20" t="s">
        <v>395</v>
      </c>
      <c r="R59" s="30" t="s">
        <v>232</v>
      </c>
      <c r="S59" s="20" t="s">
        <v>396</v>
      </c>
      <c r="T59" s="23" t="s">
        <v>397</v>
      </c>
      <c r="U59" s="20" t="s">
        <v>398</v>
      </c>
      <c r="V59" s="24" t="s">
        <v>384</v>
      </c>
      <c r="W59" s="20" t="s">
        <v>399</v>
      </c>
      <c r="X59" s="20" t="s">
        <v>35</v>
      </c>
      <c r="Y59" s="21" t="s">
        <v>36</v>
      </c>
      <c r="Z59" s="24" t="s">
        <v>400</v>
      </c>
      <c r="AA59" s="20"/>
      <c r="AB59" s="24" t="s">
        <v>401</v>
      </c>
      <c r="AC59" s="24"/>
      <c r="AD59" s="51" t="s">
        <v>402</v>
      </c>
      <c r="AE59" s="20" t="s">
        <v>403</v>
      </c>
      <c r="AF59" s="20" t="s">
        <v>404</v>
      </c>
    </row>
    <row r="60" ht="15.75" customHeight="1">
      <c r="A60" s="52">
        <v>2020.0</v>
      </c>
      <c r="B60" s="10" t="s">
        <v>340</v>
      </c>
      <c r="C60" s="59"/>
      <c r="D60" s="62" t="s">
        <v>487</v>
      </c>
      <c r="E60" s="63" t="s">
        <v>100</v>
      </c>
      <c r="F60" s="20" t="s">
        <v>488</v>
      </c>
      <c r="G60" s="68">
        <f t="shared" si="1"/>
        <v>13</v>
      </c>
      <c r="H60" s="20" t="s">
        <v>35</v>
      </c>
      <c r="I60" s="21" t="s">
        <v>36</v>
      </c>
      <c r="J60" s="20" t="s">
        <v>37</v>
      </c>
      <c r="K60" s="20" t="s">
        <v>422</v>
      </c>
      <c r="L60" s="20" t="s">
        <v>423</v>
      </c>
      <c r="M60" s="20" t="s">
        <v>206</v>
      </c>
      <c r="N60" s="20" t="s">
        <v>489</v>
      </c>
      <c r="O60" s="20" t="s">
        <v>490</v>
      </c>
      <c r="P60" s="20" t="s">
        <v>42</v>
      </c>
      <c r="Q60" s="20" t="s">
        <v>491</v>
      </c>
      <c r="R60" s="30" t="s">
        <v>492</v>
      </c>
      <c r="S60" s="20" t="s">
        <v>493</v>
      </c>
      <c r="T60" s="23" t="s">
        <v>413</v>
      </c>
      <c r="U60" s="24" t="s">
        <v>494</v>
      </c>
      <c r="V60" s="24" t="s">
        <v>495</v>
      </c>
      <c r="W60" s="20" t="s">
        <v>496</v>
      </c>
      <c r="X60" s="20" t="s">
        <v>35</v>
      </c>
      <c r="Y60" s="21" t="s">
        <v>36</v>
      </c>
      <c r="Z60" s="20" t="s">
        <v>497</v>
      </c>
      <c r="AA60" s="20"/>
      <c r="AB60" s="24" t="s">
        <v>498</v>
      </c>
      <c r="AC60" s="24"/>
      <c r="AD60" s="17" t="s">
        <v>499</v>
      </c>
      <c r="AE60" s="58" t="s">
        <v>218</v>
      </c>
      <c r="AF60" s="19" t="s">
        <v>500</v>
      </c>
    </row>
    <row r="61" ht="30.0" customHeight="1">
      <c r="A61" s="52">
        <v>2021.0</v>
      </c>
      <c r="B61" s="10" t="s">
        <v>31</v>
      </c>
      <c r="C61" s="70">
        <v>11.0</v>
      </c>
      <c r="D61" s="71" t="s">
        <v>32</v>
      </c>
      <c r="E61" s="72" t="s">
        <v>179</v>
      </c>
      <c r="F61" s="73" t="s">
        <v>34</v>
      </c>
      <c r="G61" s="73">
        <f>2021-2005</f>
        <v>16</v>
      </c>
      <c r="H61" s="73" t="s">
        <v>35</v>
      </c>
      <c r="I61" s="74" t="s">
        <v>36</v>
      </c>
      <c r="J61" s="73" t="s">
        <v>37</v>
      </c>
      <c r="K61" s="73" t="s">
        <v>38</v>
      </c>
      <c r="L61" s="73" t="s">
        <v>39</v>
      </c>
      <c r="M61" s="73"/>
      <c r="N61" s="73" t="s">
        <v>40</v>
      </c>
      <c r="O61" s="73" t="s">
        <v>41</v>
      </c>
      <c r="P61" s="73" t="s">
        <v>42</v>
      </c>
      <c r="Q61" s="73" t="s">
        <v>43</v>
      </c>
      <c r="R61" s="73" t="s">
        <v>44</v>
      </c>
      <c r="S61" s="75" t="s">
        <v>45</v>
      </c>
      <c r="T61" s="73" t="s">
        <v>46</v>
      </c>
      <c r="U61" s="73" t="s">
        <v>47</v>
      </c>
      <c r="V61" s="73" t="s">
        <v>48</v>
      </c>
      <c r="W61" s="73" t="s">
        <v>49</v>
      </c>
      <c r="X61" s="73" t="s">
        <v>50</v>
      </c>
      <c r="Y61" s="74" t="s">
        <v>36</v>
      </c>
      <c r="Z61" s="73" t="s">
        <v>51</v>
      </c>
      <c r="AA61" s="73"/>
      <c r="AB61" s="73" t="s">
        <v>52</v>
      </c>
      <c r="AC61" s="73"/>
      <c r="AD61" s="76" t="s">
        <v>53</v>
      </c>
      <c r="AE61" s="77" t="s">
        <v>54</v>
      </c>
      <c r="AF61" s="78" t="s">
        <v>55</v>
      </c>
    </row>
    <row r="62" ht="15.75" customHeight="1">
      <c r="A62" s="52">
        <v>2021.0</v>
      </c>
      <c r="B62" s="10" t="s">
        <v>31</v>
      </c>
      <c r="C62" s="70">
        <v>11.0</v>
      </c>
      <c r="D62" s="71" t="s">
        <v>56</v>
      </c>
      <c r="E62" s="73" t="s">
        <v>179</v>
      </c>
      <c r="F62" s="79" t="s">
        <v>57</v>
      </c>
      <c r="G62" s="79">
        <v>15.0</v>
      </c>
      <c r="H62" s="79" t="s">
        <v>35</v>
      </c>
      <c r="I62" s="80" t="s">
        <v>36</v>
      </c>
      <c r="J62" s="79" t="s">
        <v>37</v>
      </c>
      <c r="K62" s="79" t="s">
        <v>38</v>
      </c>
      <c r="L62" s="79" t="s">
        <v>39</v>
      </c>
      <c r="M62" s="79" t="s">
        <v>58</v>
      </c>
      <c r="N62" s="79" t="s">
        <v>59</v>
      </c>
      <c r="O62" s="79" t="s">
        <v>60</v>
      </c>
      <c r="P62" s="79" t="s">
        <v>42</v>
      </c>
      <c r="Q62" s="79" t="s">
        <v>61</v>
      </c>
      <c r="R62" s="81" t="s">
        <v>62</v>
      </c>
      <c r="S62" s="82" t="s">
        <v>63</v>
      </c>
      <c r="T62" s="81" t="s">
        <v>64</v>
      </c>
      <c r="U62" s="81" t="s">
        <v>65</v>
      </c>
      <c r="V62" s="81" t="s">
        <v>66</v>
      </c>
      <c r="W62" s="79" t="s">
        <v>67</v>
      </c>
      <c r="X62" s="79" t="s">
        <v>35</v>
      </c>
      <c r="Y62" s="80" t="s">
        <v>36</v>
      </c>
      <c r="Z62" s="81" t="s">
        <v>68</v>
      </c>
      <c r="AA62" s="79" t="s">
        <v>69</v>
      </c>
      <c r="AB62" s="81" t="s">
        <v>69</v>
      </c>
      <c r="AC62" s="81"/>
      <c r="AD62" s="83" t="s">
        <v>70</v>
      </c>
      <c r="AE62" s="84" t="s">
        <v>71</v>
      </c>
      <c r="AF62" s="85" t="s">
        <v>72</v>
      </c>
    </row>
    <row r="63" ht="15.75" customHeight="1">
      <c r="A63" s="52">
        <v>2021.0</v>
      </c>
      <c r="B63" s="10" t="s">
        <v>31</v>
      </c>
      <c r="C63" s="86"/>
      <c r="D63" s="87" t="s">
        <v>501</v>
      </c>
      <c r="E63" s="88" t="s">
        <v>405</v>
      </c>
      <c r="F63" s="89">
        <v>38934.0</v>
      </c>
      <c r="G63" s="90">
        <v>15.0</v>
      </c>
      <c r="H63" s="79" t="s">
        <v>35</v>
      </c>
      <c r="I63" s="80" t="s">
        <v>36</v>
      </c>
      <c r="J63" s="79" t="s">
        <v>421</v>
      </c>
      <c r="K63" s="90" t="s">
        <v>422</v>
      </c>
      <c r="L63" s="90" t="s">
        <v>423</v>
      </c>
      <c r="M63" s="90"/>
      <c r="N63" s="90" t="s">
        <v>502</v>
      </c>
      <c r="O63" s="90" t="s">
        <v>503</v>
      </c>
      <c r="P63" s="79" t="s">
        <v>42</v>
      </c>
      <c r="Q63" s="89">
        <v>43299.0</v>
      </c>
      <c r="R63" s="91" t="s">
        <v>504</v>
      </c>
      <c r="S63" s="92" t="s">
        <v>505</v>
      </c>
      <c r="T63" s="91" t="s">
        <v>506</v>
      </c>
      <c r="U63" s="91" t="s">
        <v>507</v>
      </c>
      <c r="V63" s="91" t="s">
        <v>252</v>
      </c>
      <c r="W63" s="90" t="s">
        <v>508</v>
      </c>
      <c r="X63" s="90" t="s">
        <v>35</v>
      </c>
      <c r="Y63" s="93" t="s">
        <v>36</v>
      </c>
      <c r="Z63" s="91" t="s">
        <v>509</v>
      </c>
      <c r="AA63" s="90" t="s">
        <v>510</v>
      </c>
      <c r="AB63" s="91" t="s">
        <v>511</v>
      </c>
      <c r="AC63" s="91"/>
      <c r="AD63" s="94" t="s">
        <v>512</v>
      </c>
      <c r="AE63" s="95">
        <v>41640.0</v>
      </c>
      <c r="AF63" s="96" t="s">
        <v>513</v>
      </c>
    </row>
    <row r="64" ht="15.75" customHeight="1">
      <c r="A64" s="52">
        <v>2021.0</v>
      </c>
      <c r="B64" s="10" t="s">
        <v>31</v>
      </c>
      <c r="C64" s="70">
        <v>6.0</v>
      </c>
      <c r="D64" s="97" t="s">
        <v>73</v>
      </c>
      <c r="E64" s="98" t="s">
        <v>33</v>
      </c>
      <c r="F64" s="79" t="s">
        <v>75</v>
      </c>
      <c r="G64" s="79">
        <v>16.0</v>
      </c>
      <c r="H64" s="79" t="s">
        <v>35</v>
      </c>
      <c r="I64" s="80" t="s">
        <v>36</v>
      </c>
      <c r="J64" s="79" t="s">
        <v>37</v>
      </c>
      <c r="K64" s="79" t="s">
        <v>38</v>
      </c>
      <c r="L64" s="79" t="s">
        <v>39</v>
      </c>
      <c r="M64" s="79" t="s">
        <v>76</v>
      </c>
      <c r="N64" s="79" t="s">
        <v>77</v>
      </c>
      <c r="O64" s="79" t="s">
        <v>78</v>
      </c>
      <c r="P64" s="79" t="s">
        <v>42</v>
      </c>
      <c r="Q64" s="79" t="s">
        <v>79</v>
      </c>
      <c r="R64" s="81" t="s">
        <v>80</v>
      </c>
      <c r="S64" s="82" t="s">
        <v>81</v>
      </c>
      <c r="T64" s="81" t="s">
        <v>82</v>
      </c>
      <c r="U64" s="81" t="s">
        <v>83</v>
      </c>
      <c r="V64" s="81" t="s">
        <v>84</v>
      </c>
      <c r="W64" s="79" t="s">
        <v>85</v>
      </c>
      <c r="X64" s="79" t="s">
        <v>35</v>
      </c>
      <c r="Y64" s="80" t="s">
        <v>36</v>
      </c>
      <c r="Z64" s="81" t="s">
        <v>86</v>
      </c>
      <c r="AA64" s="79"/>
      <c r="AB64" s="81" t="s">
        <v>87</v>
      </c>
      <c r="AC64" s="81"/>
      <c r="AD64" s="76" t="s">
        <v>88</v>
      </c>
      <c r="AE64" s="77" t="s">
        <v>54</v>
      </c>
      <c r="AF64" s="78" t="s">
        <v>89</v>
      </c>
    </row>
    <row r="65" ht="15.75" customHeight="1">
      <c r="A65" s="52">
        <v>2021.0</v>
      </c>
      <c r="B65" s="10" t="s">
        <v>31</v>
      </c>
      <c r="C65" s="70">
        <v>11.0</v>
      </c>
      <c r="D65" s="71" t="s">
        <v>90</v>
      </c>
      <c r="E65" s="72" t="s">
        <v>405</v>
      </c>
      <c r="F65" s="79" t="s">
        <v>34</v>
      </c>
      <c r="G65" s="79">
        <v>16.0</v>
      </c>
      <c r="H65" s="79" t="s">
        <v>35</v>
      </c>
      <c r="I65" s="80" t="s">
        <v>36</v>
      </c>
      <c r="J65" s="79" t="s">
        <v>37</v>
      </c>
      <c r="K65" s="79" t="s">
        <v>38</v>
      </c>
      <c r="L65" s="79" t="s">
        <v>39</v>
      </c>
      <c r="M65" s="79"/>
      <c r="N65" s="79" t="s">
        <v>91</v>
      </c>
      <c r="O65" s="79" t="s">
        <v>92</v>
      </c>
      <c r="P65" s="79" t="s">
        <v>42</v>
      </c>
      <c r="Q65" s="79" t="s">
        <v>93</v>
      </c>
      <c r="R65" s="81" t="s">
        <v>44</v>
      </c>
      <c r="S65" s="82" t="s">
        <v>45</v>
      </c>
      <c r="T65" s="81" t="s">
        <v>94</v>
      </c>
      <c r="U65" s="81" t="s">
        <v>95</v>
      </c>
      <c r="V65" s="81" t="s">
        <v>48</v>
      </c>
      <c r="W65" s="73" t="s">
        <v>49</v>
      </c>
      <c r="X65" s="79" t="s">
        <v>35</v>
      </c>
      <c r="Y65" s="80" t="s">
        <v>36</v>
      </c>
      <c r="Z65" s="81"/>
      <c r="AA65" s="79"/>
      <c r="AB65" s="81" t="s">
        <v>96</v>
      </c>
      <c r="AC65" s="81"/>
      <c r="AD65" s="83" t="s">
        <v>97</v>
      </c>
      <c r="AE65" s="84" t="s">
        <v>54</v>
      </c>
      <c r="AF65" s="85" t="s">
        <v>98</v>
      </c>
    </row>
    <row r="66" ht="15.75" customHeight="1">
      <c r="A66" s="52">
        <v>2021.0</v>
      </c>
      <c r="B66" s="10" t="s">
        <v>31</v>
      </c>
      <c r="C66" s="70">
        <v>10.0</v>
      </c>
      <c r="D66" s="97" t="s">
        <v>99</v>
      </c>
      <c r="E66" s="98" t="s">
        <v>179</v>
      </c>
      <c r="F66" s="79" t="s">
        <v>101</v>
      </c>
      <c r="G66" s="79">
        <v>15.0</v>
      </c>
      <c r="H66" s="79" t="s">
        <v>102</v>
      </c>
      <c r="I66" s="80" t="s">
        <v>36</v>
      </c>
      <c r="J66" s="79" t="s">
        <v>37</v>
      </c>
      <c r="K66" s="79" t="s">
        <v>38</v>
      </c>
      <c r="L66" s="79" t="s">
        <v>39</v>
      </c>
      <c r="M66" s="79" t="s">
        <v>76</v>
      </c>
      <c r="N66" s="79" t="s">
        <v>103</v>
      </c>
      <c r="O66" s="79" t="s">
        <v>104</v>
      </c>
      <c r="P66" s="79" t="s">
        <v>42</v>
      </c>
      <c r="Q66" s="79" t="s">
        <v>105</v>
      </c>
      <c r="R66" s="81" t="s">
        <v>106</v>
      </c>
      <c r="S66" s="82" t="s">
        <v>107</v>
      </c>
      <c r="T66" s="81" t="s">
        <v>108</v>
      </c>
      <c r="U66" s="81" t="s">
        <v>109</v>
      </c>
      <c r="V66" s="81" t="s">
        <v>48</v>
      </c>
      <c r="W66" s="79" t="s">
        <v>110</v>
      </c>
      <c r="X66" s="79" t="s">
        <v>35</v>
      </c>
      <c r="Y66" s="80" t="s">
        <v>36</v>
      </c>
      <c r="Z66" s="79" t="s">
        <v>111</v>
      </c>
      <c r="AA66" s="79"/>
      <c r="AB66" s="81" t="s">
        <v>112</v>
      </c>
      <c r="AC66" s="81"/>
      <c r="AD66" s="76" t="s">
        <v>113</v>
      </c>
      <c r="AE66" s="77" t="s">
        <v>54</v>
      </c>
      <c r="AF66" s="78" t="s">
        <v>114</v>
      </c>
    </row>
    <row r="67" ht="30.75" customHeight="1">
      <c r="A67" s="52">
        <v>2021.0</v>
      </c>
      <c r="B67" s="10" t="s">
        <v>31</v>
      </c>
      <c r="C67" s="70">
        <v>4.0</v>
      </c>
      <c r="D67" s="71" t="s">
        <v>514</v>
      </c>
      <c r="E67" s="73" t="s">
        <v>515</v>
      </c>
      <c r="F67" s="99">
        <v>38580.0</v>
      </c>
      <c r="G67" s="79">
        <v>16.0</v>
      </c>
      <c r="H67" s="79" t="s">
        <v>35</v>
      </c>
      <c r="I67" s="80" t="s">
        <v>36</v>
      </c>
      <c r="J67" s="79" t="s">
        <v>37</v>
      </c>
      <c r="K67" s="79" t="s">
        <v>38</v>
      </c>
      <c r="L67" s="79" t="s">
        <v>39</v>
      </c>
      <c r="M67" s="79"/>
      <c r="N67" s="79" t="s">
        <v>516</v>
      </c>
      <c r="O67" s="79">
        <v>1.613652992E9</v>
      </c>
      <c r="P67" s="79" t="s">
        <v>42</v>
      </c>
      <c r="Q67" s="100">
        <v>43724.0</v>
      </c>
      <c r="R67" s="81" t="s">
        <v>517</v>
      </c>
      <c r="S67" s="82" t="s">
        <v>518</v>
      </c>
      <c r="T67" s="81" t="s">
        <v>519</v>
      </c>
      <c r="U67" s="81" t="s">
        <v>520</v>
      </c>
      <c r="V67" s="81" t="s">
        <v>521</v>
      </c>
      <c r="W67" s="79" t="s">
        <v>522</v>
      </c>
      <c r="X67" s="79" t="s">
        <v>35</v>
      </c>
      <c r="Y67" s="80" t="s">
        <v>36</v>
      </c>
      <c r="Z67" s="81" t="s">
        <v>523</v>
      </c>
      <c r="AA67" s="79" t="s">
        <v>524</v>
      </c>
      <c r="AB67" s="81" t="s">
        <v>525</v>
      </c>
      <c r="AC67" s="81"/>
      <c r="AD67" s="76" t="s">
        <v>526</v>
      </c>
      <c r="AE67" s="77" t="s">
        <v>527</v>
      </c>
      <c r="AF67" s="78" t="s">
        <v>528</v>
      </c>
    </row>
    <row r="68" ht="30.75" customHeight="1">
      <c r="A68" s="52">
        <v>2021.0</v>
      </c>
      <c r="B68" s="10" t="s">
        <v>31</v>
      </c>
      <c r="C68" s="70">
        <v>4.0</v>
      </c>
      <c r="D68" s="71" t="s">
        <v>529</v>
      </c>
      <c r="E68" s="73" t="s">
        <v>132</v>
      </c>
      <c r="F68" s="99" t="s">
        <v>530</v>
      </c>
      <c r="G68" s="79">
        <f>2021-2009</f>
        <v>12</v>
      </c>
      <c r="H68" s="79" t="s">
        <v>35</v>
      </c>
      <c r="I68" s="80" t="s">
        <v>36</v>
      </c>
      <c r="J68" s="79" t="s">
        <v>421</v>
      </c>
      <c r="K68" s="79" t="s">
        <v>422</v>
      </c>
      <c r="L68" s="79" t="s">
        <v>423</v>
      </c>
      <c r="M68" s="79" t="s">
        <v>76</v>
      </c>
      <c r="N68" s="79" t="s">
        <v>531</v>
      </c>
      <c r="O68" s="79" t="s">
        <v>532</v>
      </c>
      <c r="P68" s="79" t="s">
        <v>42</v>
      </c>
      <c r="Q68" s="99">
        <v>40278.0</v>
      </c>
      <c r="R68" s="81" t="s">
        <v>533</v>
      </c>
      <c r="S68" s="82" t="s">
        <v>534</v>
      </c>
      <c r="T68" s="81" t="s">
        <v>535</v>
      </c>
      <c r="U68" s="81" t="s">
        <v>536</v>
      </c>
      <c r="V68" s="81" t="s">
        <v>141</v>
      </c>
      <c r="W68" s="79" t="s">
        <v>537</v>
      </c>
      <c r="X68" s="79" t="s">
        <v>35</v>
      </c>
      <c r="Y68" s="80" t="s">
        <v>36</v>
      </c>
      <c r="Z68" s="81" t="s">
        <v>538</v>
      </c>
      <c r="AA68" s="79" t="s">
        <v>539</v>
      </c>
      <c r="AB68" s="81" t="s">
        <v>540</v>
      </c>
      <c r="AC68" s="81"/>
      <c r="AD68" s="76" t="s">
        <v>541</v>
      </c>
      <c r="AE68" s="77" t="s">
        <v>147</v>
      </c>
      <c r="AF68" s="78" t="s">
        <v>542</v>
      </c>
    </row>
    <row r="69" ht="15.75" customHeight="1">
      <c r="A69" s="52">
        <v>2021.0</v>
      </c>
      <c r="B69" s="10" t="s">
        <v>31</v>
      </c>
      <c r="C69" s="70">
        <v>4.0</v>
      </c>
      <c r="D69" s="71" t="s">
        <v>543</v>
      </c>
      <c r="E69" s="72" t="s">
        <v>544</v>
      </c>
      <c r="F69" s="101" t="s">
        <v>545</v>
      </c>
      <c r="G69" s="102">
        <v>17.0</v>
      </c>
      <c r="H69" s="79" t="s">
        <v>35</v>
      </c>
      <c r="I69" s="80" t="s">
        <v>36</v>
      </c>
      <c r="J69" s="79" t="s">
        <v>37</v>
      </c>
      <c r="K69" s="79" t="s">
        <v>38</v>
      </c>
      <c r="L69" s="79" t="s">
        <v>39</v>
      </c>
      <c r="M69" s="79"/>
      <c r="N69" s="81" t="s">
        <v>546</v>
      </c>
      <c r="O69" s="81" t="s">
        <v>547</v>
      </c>
      <c r="P69" s="79" t="s">
        <v>42</v>
      </c>
      <c r="Q69" s="99">
        <v>44090.0</v>
      </c>
      <c r="R69" s="81" t="s">
        <v>548</v>
      </c>
      <c r="S69" s="82" t="s">
        <v>549</v>
      </c>
      <c r="T69" s="81" t="s">
        <v>550</v>
      </c>
      <c r="U69" s="81" t="s">
        <v>551</v>
      </c>
      <c r="V69" s="81" t="s">
        <v>48</v>
      </c>
      <c r="W69" s="79" t="s">
        <v>552</v>
      </c>
      <c r="X69" s="79" t="s">
        <v>35</v>
      </c>
      <c r="Y69" s="80" t="s">
        <v>36</v>
      </c>
      <c r="Z69" s="81" t="s">
        <v>371</v>
      </c>
      <c r="AA69" s="79" t="s">
        <v>553</v>
      </c>
      <c r="AB69" s="81" t="s">
        <v>554</v>
      </c>
      <c r="AC69" s="81"/>
      <c r="AD69" s="83" t="s">
        <v>555</v>
      </c>
      <c r="AE69" s="84" t="s">
        <v>54</v>
      </c>
      <c r="AF69" s="85" t="s">
        <v>556</v>
      </c>
    </row>
    <row r="70" ht="15.75" customHeight="1">
      <c r="A70" s="52">
        <v>2021.0</v>
      </c>
      <c r="B70" s="10" t="s">
        <v>31</v>
      </c>
      <c r="C70" s="70">
        <v>0.0</v>
      </c>
      <c r="D70" s="103" t="s">
        <v>115</v>
      </c>
      <c r="E70" s="72" t="s">
        <v>544</v>
      </c>
      <c r="F70" s="104" t="s">
        <v>116</v>
      </c>
      <c r="G70" s="104">
        <v>16.0</v>
      </c>
      <c r="H70" s="104" t="s">
        <v>35</v>
      </c>
      <c r="I70" s="105" t="s">
        <v>36</v>
      </c>
      <c r="J70" s="104" t="s">
        <v>37</v>
      </c>
      <c r="K70" s="104" t="s">
        <v>38</v>
      </c>
      <c r="L70" s="104" t="s">
        <v>39</v>
      </c>
      <c r="M70" s="104" t="s">
        <v>117</v>
      </c>
      <c r="N70" s="104" t="s">
        <v>118</v>
      </c>
      <c r="O70" s="104" t="s">
        <v>119</v>
      </c>
      <c r="P70" s="104" t="s">
        <v>42</v>
      </c>
      <c r="Q70" s="104" t="s">
        <v>120</v>
      </c>
      <c r="R70" s="106" t="s">
        <v>121</v>
      </c>
      <c r="S70" s="107" t="s">
        <v>122</v>
      </c>
      <c r="T70" s="106" t="s">
        <v>123</v>
      </c>
      <c r="U70" s="106" t="s">
        <v>124</v>
      </c>
      <c r="V70" s="106" t="s">
        <v>48</v>
      </c>
      <c r="W70" s="104" t="s">
        <v>125</v>
      </c>
      <c r="X70" s="104" t="s">
        <v>35</v>
      </c>
      <c r="Y70" s="105" t="s">
        <v>36</v>
      </c>
      <c r="Z70" s="104" t="s">
        <v>126</v>
      </c>
      <c r="AA70" s="104"/>
      <c r="AB70" s="106" t="s">
        <v>127</v>
      </c>
      <c r="AC70" s="106"/>
      <c r="AD70" s="108" t="s">
        <v>128</v>
      </c>
      <c r="AE70" s="109" t="s">
        <v>54</v>
      </c>
      <c r="AF70" s="110" t="s">
        <v>129</v>
      </c>
    </row>
    <row r="71" ht="15.75" customHeight="1">
      <c r="A71" s="52">
        <v>2021.0</v>
      </c>
      <c r="B71" s="10" t="s">
        <v>31</v>
      </c>
      <c r="C71" s="111">
        <v>4.0</v>
      </c>
      <c r="D71" s="112" t="s">
        <v>557</v>
      </c>
      <c r="E71" s="55" t="s">
        <v>132</v>
      </c>
      <c r="F71" s="113">
        <v>39744.0</v>
      </c>
      <c r="G71" s="55">
        <v>12.0</v>
      </c>
      <c r="H71" s="55" t="s">
        <v>35</v>
      </c>
      <c r="I71" s="56" t="s">
        <v>36</v>
      </c>
      <c r="J71" s="55" t="s">
        <v>37</v>
      </c>
      <c r="K71" s="55" t="s">
        <v>38</v>
      </c>
      <c r="L71" s="55" t="s">
        <v>39</v>
      </c>
      <c r="M71" s="55"/>
      <c r="N71" s="114" t="s">
        <v>558</v>
      </c>
      <c r="O71" s="115" t="s">
        <v>559</v>
      </c>
      <c r="P71" s="24" t="s">
        <v>42</v>
      </c>
      <c r="Q71" s="116">
        <v>43301.0</v>
      </c>
      <c r="R71" s="114" t="s">
        <v>560</v>
      </c>
      <c r="S71" s="114" t="s">
        <v>561</v>
      </c>
      <c r="T71" s="114" t="s">
        <v>562</v>
      </c>
      <c r="U71" s="117" t="s">
        <v>563</v>
      </c>
      <c r="V71" s="55" t="s">
        <v>252</v>
      </c>
      <c r="W71" s="68" t="s">
        <v>564</v>
      </c>
      <c r="X71" s="55" t="s">
        <v>35</v>
      </c>
      <c r="Y71" s="56" t="s">
        <v>36</v>
      </c>
      <c r="Z71" s="55" t="s">
        <v>565</v>
      </c>
      <c r="AA71" s="53" t="s">
        <v>566</v>
      </c>
      <c r="AB71" s="55"/>
      <c r="AC71" s="55"/>
      <c r="AD71" s="118" t="s">
        <v>567</v>
      </c>
      <c r="AE71" s="119">
        <v>565883.0</v>
      </c>
      <c r="AF71" s="55" t="s">
        <v>568</v>
      </c>
    </row>
    <row r="72" ht="33.75" customHeight="1">
      <c r="A72" s="52">
        <v>2021.0</v>
      </c>
      <c r="B72" s="10" t="s">
        <v>130</v>
      </c>
      <c r="C72" s="70">
        <v>6.0</v>
      </c>
      <c r="D72" s="71" t="s">
        <v>131</v>
      </c>
      <c r="E72" s="73" t="s">
        <v>179</v>
      </c>
      <c r="F72" s="79" t="s">
        <v>133</v>
      </c>
      <c r="G72" s="79">
        <f>2021-2007</f>
        <v>14</v>
      </c>
      <c r="H72" s="79" t="s">
        <v>35</v>
      </c>
      <c r="I72" s="80" t="s">
        <v>36</v>
      </c>
      <c r="J72" s="79" t="s">
        <v>37</v>
      </c>
      <c r="K72" s="79" t="s">
        <v>38</v>
      </c>
      <c r="L72" s="79" t="s">
        <v>39</v>
      </c>
      <c r="M72" s="79" t="s">
        <v>134</v>
      </c>
      <c r="N72" s="79" t="s">
        <v>135</v>
      </c>
      <c r="O72" s="79">
        <v>1.587248522E9</v>
      </c>
      <c r="P72" s="120" t="s">
        <v>42</v>
      </c>
      <c r="Q72" s="79" t="s">
        <v>136</v>
      </c>
      <c r="R72" s="81" t="s">
        <v>137</v>
      </c>
      <c r="S72" s="79" t="s">
        <v>138</v>
      </c>
      <c r="T72" s="81" t="s">
        <v>139</v>
      </c>
      <c r="U72" s="81" t="s">
        <v>140</v>
      </c>
      <c r="V72" s="81" t="s">
        <v>141</v>
      </c>
      <c r="W72" s="79" t="s">
        <v>142</v>
      </c>
      <c r="X72" s="79" t="s">
        <v>35</v>
      </c>
      <c r="Y72" s="80" t="s">
        <v>36</v>
      </c>
      <c r="Z72" s="81" t="s">
        <v>143</v>
      </c>
      <c r="AA72" s="79" t="s">
        <v>144</v>
      </c>
      <c r="AB72" s="81" t="s">
        <v>145</v>
      </c>
      <c r="AC72" s="81"/>
      <c r="AD72" s="83" t="s">
        <v>146</v>
      </c>
      <c r="AE72" s="84" t="s">
        <v>147</v>
      </c>
      <c r="AF72" s="85" t="s">
        <v>148</v>
      </c>
    </row>
    <row r="73" ht="15.75" customHeight="1">
      <c r="A73" s="52">
        <v>2021.0</v>
      </c>
      <c r="B73" s="10" t="s">
        <v>130</v>
      </c>
      <c r="C73" s="70">
        <v>4.0</v>
      </c>
      <c r="D73" s="71" t="s">
        <v>407</v>
      </c>
      <c r="E73" s="73" t="s">
        <v>569</v>
      </c>
      <c r="F73" s="99" t="s">
        <v>150</v>
      </c>
      <c r="G73" s="79">
        <v>16.0</v>
      </c>
      <c r="H73" s="79" t="s">
        <v>35</v>
      </c>
      <c r="I73" s="80" t="s">
        <v>36</v>
      </c>
      <c r="J73" s="79" t="s">
        <v>37</v>
      </c>
      <c r="K73" s="79" t="s">
        <v>38</v>
      </c>
      <c r="L73" s="79" t="s">
        <v>39</v>
      </c>
      <c r="M73" s="79"/>
      <c r="N73" s="79" t="s">
        <v>151</v>
      </c>
      <c r="O73" s="79" t="s">
        <v>152</v>
      </c>
      <c r="P73" s="79" t="s">
        <v>42</v>
      </c>
      <c r="Q73" s="79" t="s">
        <v>153</v>
      </c>
      <c r="R73" s="81" t="s">
        <v>154</v>
      </c>
      <c r="S73" s="79" t="s">
        <v>155</v>
      </c>
      <c r="T73" s="81" t="s">
        <v>156</v>
      </c>
      <c r="U73" s="81" t="s">
        <v>157</v>
      </c>
      <c r="V73" s="81" t="s">
        <v>141</v>
      </c>
      <c r="W73" s="79" t="s">
        <v>158</v>
      </c>
      <c r="X73" s="79" t="s">
        <v>35</v>
      </c>
      <c r="Y73" s="80" t="s">
        <v>36</v>
      </c>
      <c r="Z73" s="79" t="s">
        <v>159</v>
      </c>
      <c r="AA73" s="79" t="s">
        <v>160</v>
      </c>
      <c r="AB73" s="81" t="s">
        <v>161</v>
      </c>
      <c r="AC73" s="81"/>
      <c r="AD73" s="83" t="s">
        <v>162</v>
      </c>
      <c r="AE73" s="84" t="s">
        <v>163</v>
      </c>
      <c r="AF73" s="85" t="s">
        <v>164</v>
      </c>
    </row>
    <row r="74" ht="15.75" customHeight="1">
      <c r="A74" s="52">
        <v>2021.0</v>
      </c>
      <c r="B74" s="10" t="s">
        <v>130</v>
      </c>
      <c r="C74" s="70">
        <v>11.0</v>
      </c>
      <c r="D74" s="71" t="s">
        <v>165</v>
      </c>
      <c r="E74" s="73" t="s">
        <v>33</v>
      </c>
      <c r="F74" s="79" t="s">
        <v>166</v>
      </c>
      <c r="G74" s="79">
        <v>15.0</v>
      </c>
      <c r="H74" s="79" t="s">
        <v>35</v>
      </c>
      <c r="I74" s="80" t="s">
        <v>36</v>
      </c>
      <c r="J74" s="79" t="s">
        <v>37</v>
      </c>
      <c r="K74" s="79" t="s">
        <v>38</v>
      </c>
      <c r="L74" s="79" t="s">
        <v>39</v>
      </c>
      <c r="M74" s="79" t="s">
        <v>134</v>
      </c>
      <c r="N74" s="79" t="s">
        <v>167</v>
      </c>
      <c r="O74" s="79">
        <v>1.683708E7</v>
      </c>
      <c r="P74" s="79" t="s">
        <v>42</v>
      </c>
      <c r="Q74" s="79" t="s">
        <v>168</v>
      </c>
      <c r="R74" s="81" t="s">
        <v>169</v>
      </c>
      <c r="S74" s="79" t="s">
        <v>170</v>
      </c>
      <c r="T74" s="81" t="s">
        <v>171</v>
      </c>
      <c r="U74" s="81" t="s">
        <v>172</v>
      </c>
      <c r="V74" s="81" t="s">
        <v>141</v>
      </c>
      <c r="W74" s="79" t="s">
        <v>173</v>
      </c>
      <c r="X74" s="79" t="s">
        <v>35</v>
      </c>
      <c r="Y74" s="80" t="s">
        <v>36</v>
      </c>
      <c r="Z74" s="79" t="s">
        <v>174</v>
      </c>
      <c r="AA74" s="79"/>
      <c r="AB74" s="81" t="s">
        <v>175</v>
      </c>
      <c r="AC74" s="81"/>
      <c r="AD74" s="76" t="s">
        <v>176</v>
      </c>
      <c r="AE74" s="77" t="s">
        <v>147</v>
      </c>
      <c r="AF74" s="78" t="s">
        <v>177</v>
      </c>
    </row>
    <row r="75" ht="37.5" customHeight="1">
      <c r="A75" s="52">
        <v>2021.0</v>
      </c>
      <c r="B75" s="10" t="s">
        <v>130</v>
      </c>
      <c r="C75" s="70">
        <v>4.0</v>
      </c>
      <c r="D75" s="121" t="s">
        <v>570</v>
      </c>
      <c r="E75" s="122" t="s">
        <v>33</v>
      </c>
      <c r="F75" s="123" t="s">
        <v>571</v>
      </c>
      <c r="G75" s="124">
        <v>14.0</v>
      </c>
      <c r="H75" s="124" t="s">
        <v>102</v>
      </c>
      <c r="I75" s="125" t="s">
        <v>36</v>
      </c>
      <c r="J75" s="124" t="s">
        <v>421</v>
      </c>
      <c r="K75" s="124" t="s">
        <v>572</v>
      </c>
      <c r="L75" s="124" t="s">
        <v>423</v>
      </c>
      <c r="M75" s="124"/>
      <c r="N75" s="124" t="s">
        <v>573</v>
      </c>
      <c r="O75" s="124" t="s">
        <v>574</v>
      </c>
      <c r="P75" s="124" t="s">
        <v>42</v>
      </c>
      <c r="Q75" s="124" t="s">
        <v>575</v>
      </c>
      <c r="R75" s="126" t="s">
        <v>576</v>
      </c>
      <c r="S75" s="124" t="s">
        <v>577</v>
      </c>
      <c r="T75" s="127" t="s">
        <v>578</v>
      </c>
      <c r="U75" s="127" t="s">
        <v>578</v>
      </c>
      <c r="V75" s="127" t="s">
        <v>141</v>
      </c>
      <c r="W75" s="124" t="s">
        <v>579</v>
      </c>
      <c r="X75" s="124" t="s">
        <v>35</v>
      </c>
      <c r="Y75" s="125" t="s">
        <v>36</v>
      </c>
      <c r="Z75" s="127" t="s">
        <v>580</v>
      </c>
      <c r="AA75" s="124" t="s">
        <v>581</v>
      </c>
      <c r="AB75" s="127"/>
      <c r="AC75" s="127"/>
      <c r="AD75" s="128" t="s">
        <v>582</v>
      </c>
      <c r="AE75" s="129" t="s">
        <v>583</v>
      </c>
      <c r="AF75" s="130" t="s">
        <v>584</v>
      </c>
    </row>
    <row r="76" ht="36.75" customHeight="1">
      <c r="A76" s="52">
        <v>2021.0</v>
      </c>
      <c r="B76" s="10" t="s">
        <v>130</v>
      </c>
      <c r="C76" s="70">
        <v>4.0</v>
      </c>
      <c r="D76" s="71" t="s">
        <v>585</v>
      </c>
      <c r="E76" s="73" t="s">
        <v>132</v>
      </c>
      <c r="F76" s="99" t="s">
        <v>586</v>
      </c>
      <c r="G76" s="79">
        <v>13.0</v>
      </c>
      <c r="H76" s="79" t="s">
        <v>35</v>
      </c>
      <c r="I76" s="80" t="s">
        <v>36</v>
      </c>
      <c r="J76" s="79" t="s">
        <v>37</v>
      </c>
      <c r="K76" s="79" t="s">
        <v>38</v>
      </c>
      <c r="L76" s="79" t="s">
        <v>39</v>
      </c>
      <c r="M76" s="79"/>
      <c r="N76" s="79" t="s">
        <v>587</v>
      </c>
      <c r="O76" s="79" t="s">
        <v>588</v>
      </c>
      <c r="P76" s="79" t="s">
        <v>42</v>
      </c>
      <c r="Q76" s="79" t="s">
        <v>93</v>
      </c>
      <c r="R76" s="81" t="s">
        <v>589</v>
      </c>
      <c r="S76" s="81" t="s">
        <v>590</v>
      </c>
      <c r="T76" s="81" t="s">
        <v>578</v>
      </c>
      <c r="U76" s="81" t="s">
        <v>578</v>
      </c>
      <c r="V76" s="81" t="s">
        <v>141</v>
      </c>
      <c r="W76" s="79" t="s">
        <v>579</v>
      </c>
      <c r="X76" s="79" t="s">
        <v>35</v>
      </c>
      <c r="Y76" s="80" t="s">
        <v>36</v>
      </c>
      <c r="Z76" s="79" t="s">
        <v>159</v>
      </c>
      <c r="AA76" s="79" t="s">
        <v>591</v>
      </c>
      <c r="AB76" s="81" t="s">
        <v>592</v>
      </c>
      <c r="AC76" s="81"/>
      <c r="AD76" s="76" t="s">
        <v>593</v>
      </c>
      <c r="AE76" s="77" t="s">
        <v>583</v>
      </c>
      <c r="AF76" s="78" t="s">
        <v>584</v>
      </c>
    </row>
    <row r="77" ht="15.75" customHeight="1">
      <c r="A77" s="52">
        <v>2021.0</v>
      </c>
      <c r="B77" s="10" t="s">
        <v>130</v>
      </c>
      <c r="C77" s="70">
        <v>3.0</v>
      </c>
      <c r="D77" s="71" t="s">
        <v>594</v>
      </c>
      <c r="E77" s="73" t="s">
        <v>179</v>
      </c>
      <c r="F77" s="79" t="s">
        <v>595</v>
      </c>
      <c r="G77" s="79">
        <v>15.0</v>
      </c>
      <c r="H77" s="79" t="s">
        <v>35</v>
      </c>
      <c r="I77" s="80" t="s">
        <v>36</v>
      </c>
      <c r="J77" s="79" t="s">
        <v>37</v>
      </c>
      <c r="K77" s="79" t="s">
        <v>38</v>
      </c>
      <c r="L77" s="79" t="s">
        <v>39</v>
      </c>
      <c r="M77" s="79" t="s">
        <v>206</v>
      </c>
      <c r="N77" s="79" t="s">
        <v>596</v>
      </c>
      <c r="O77" s="79">
        <v>2.175382583E9</v>
      </c>
      <c r="P77" s="79" t="s">
        <v>42</v>
      </c>
      <c r="Q77" s="79" t="s">
        <v>597</v>
      </c>
      <c r="R77" s="81" t="s">
        <v>598</v>
      </c>
      <c r="S77" s="79" t="s">
        <v>599</v>
      </c>
      <c r="T77" s="81" t="s">
        <v>600</v>
      </c>
      <c r="U77" s="81" t="s">
        <v>601</v>
      </c>
      <c r="V77" s="81" t="s">
        <v>141</v>
      </c>
      <c r="W77" s="79" t="s">
        <v>370</v>
      </c>
      <c r="X77" s="79" t="s">
        <v>35</v>
      </c>
      <c r="Y77" s="80" t="s">
        <v>36</v>
      </c>
      <c r="Z77" s="79" t="s">
        <v>602</v>
      </c>
      <c r="AA77" s="79" t="s">
        <v>603</v>
      </c>
      <c r="AB77" s="81">
        <v>7.198922229E9</v>
      </c>
      <c r="AC77" s="81"/>
      <c r="AD77" s="76" t="s">
        <v>604</v>
      </c>
      <c r="AE77" s="77" t="s">
        <v>71</v>
      </c>
      <c r="AF77" s="78" t="s">
        <v>605</v>
      </c>
    </row>
    <row r="78" ht="15.75" customHeight="1">
      <c r="A78" s="52">
        <v>2021.0</v>
      </c>
      <c r="B78" s="10" t="s">
        <v>130</v>
      </c>
      <c r="C78" s="70">
        <v>4.0</v>
      </c>
      <c r="D78" s="33" t="s">
        <v>606</v>
      </c>
      <c r="E78" s="20" t="s">
        <v>179</v>
      </c>
      <c r="F78" s="131">
        <v>38951.0</v>
      </c>
      <c r="G78" s="68">
        <v>15.0</v>
      </c>
      <c r="H78" s="20" t="s">
        <v>35</v>
      </c>
      <c r="I78" s="21" t="s">
        <v>36</v>
      </c>
      <c r="J78" s="20" t="s">
        <v>37</v>
      </c>
      <c r="K78" s="20" t="s">
        <v>38</v>
      </c>
      <c r="L78" s="20" t="s">
        <v>39</v>
      </c>
      <c r="M78" s="68"/>
      <c r="N78" s="68" t="s">
        <v>607</v>
      </c>
      <c r="O78" s="68" t="s">
        <v>608</v>
      </c>
      <c r="P78" s="68" t="s">
        <v>42</v>
      </c>
      <c r="Q78" s="131">
        <v>43481.0</v>
      </c>
      <c r="R78" s="115" t="s">
        <v>609</v>
      </c>
      <c r="S78" s="68" t="s">
        <v>610</v>
      </c>
      <c r="T78" s="115" t="s">
        <v>611</v>
      </c>
      <c r="U78" s="115" t="s">
        <v>612</v>
      </c>
      <c r="V78" s="24" t="s">
        <v>141</v>
      </c>
      <c r="W78" s="68" t="s">
        <v>613</v>
      </c>
      <c r="X78" s="68" t="s">
        <v>35</v>
      </c>
      <c r="Y78" s="132" t="s">
        <v>36</v>
      </c>
      <c r="Z78" s="68" t="s">
        <v>614</v>
      </c>
      <c r="AA78" s="68" t="s">
        <v>615</v>
      </c>
      <c r="AB78" s="68" t="s">
        <v>616</v>
      </c>
      <c r="AC78" s="68"/>
      <c r="AD78" s="115" t="s">
        <v>617</v>
      </c>
      <c r="AE78" s="133">
        <v>565883.0</v>
      </c>
      <c r="AF78" s="68" t="s">
        <v>618</v>
      </c>
    </row>
    <row r="79" ht="15.75" customHeight="1">
      <c r="A79" s="52">
        <v>2021.0</v>
      </c>
      <c r="B79" s="10" t="s">
        <v>130</v>
      </c>
      <c r="C79" s="70">
        <v>11.0</v>
      </c>
      <c r="D79" s="71" t="s">
        <v>189</v>
      </c>
      <c r="E79" s="73" t="s">
        <v>33</v>
      </c>
      <c r="F79" s="99" t="s">
        <v>190</v>
      </c>
      <c r="G79" s="79">
        <v>13.0</v>
      </c>
      <c r="H79" s="79" t="s">
        <v>35</v>
      </c>
      <c r="I79" s="80" t="s">
        <v>36</v>
      </c>
      <c r="J79" s="79" t="s">
        <v>37</v>
      </c>
      <c r="K79" s="79" t="s">
        <v>38</v>
      </c>
      <c r="L79" s="79" t="s">
        <v>39</v>
      </c>
      <c r="M79" s="79" t="s">
        <v>76</v>
      </c>
      <c r="N79" s="79" t="s">
        <v>191</v>
      </c>
      <c r="O79" s="79" t="s">
        <v>192</v>
      </c>
      <c r="P79" s="79" t="s">
        <v>42</v>
      </c>
      <c r="Q79" s="79" t="s">
        <v>193</v>
      </c>
      <c r="R79" s="81" t="s">
        <v>194</v>
      </c>
      <c r="S79" s="79" t="s">
        <v>195</v>
      </c>
      <c r="T79" s="81" t="s">
        <v>196</v>
      </c>
      <c r="U79" s="81" t="s">
        <v>197</v>
      </c>
      <c r="V79" s="81" t="s">
        <v>141</v>
      </c>
      <c r="W79" s="79" t="s">
        <v>198</v>
      </c>
      <c r="X79" s="79" t="s">
        <v>35</v>
      </c>
      <c r="Y79" s="80" t="s">
        <v>36</v>
      </c>
      <c r="Z79" s="79" t="s">
        <v>199</v>
      </c>
      <c r="AA79" s="79"/>
      <c r="AB79" s="81" t="s">
        <v>200</v>
      </c>
      <c r="AC79" s="81"/>
      <c r="AD79" s="134" t="s">
        <v>201</v>
      </c>
      <c r="AE79" s="84" t="s">
        <v>147</v>
      </c>
      <c r="AF79" s="85" t="s">
        <v>202</v>
      </c>
    </row>
    <row r="80" ht="15.75" customHeight="1">
      <c r="A80" s="52">
        <v>2021.0</v>
      </c>
      <c r="B80" s="10" t="s">
        <v>130</v>
      </c>
      <c r="C80" s="70">
        <v>4.0</v>
      </c>
      <c r="D80" s="71" t="s">
        <v>619</v>
      </c>
      <c r="E80" s="73" t="s">
        <v>132</v>
      </c>
      <c r="F80" s="99" t="s">
        <v>620</v>
      </c>
      <c r="G80" s="79">
        <v>13.0</v>
      </c>
      <c r="H80" s="79" t="s">
        <v>35</v>
      </c>
      <c r="I80" s="80" t="s">
        <v>36</v>
      </c>
      <c r="J80" s="79" t="s">
        <v>37</v>
      </c>
      <c r="K80" s="79" t="s">
        <v>38</v>
      </c>
      <c r="L80" s="79" t="s">
        <v>39</v>
      </c>
      <c r="M80" s="79" t="s">
        <v>134</v>
      </c>
      <c r="N80" s="79" t="s">
        <v>621</v>
      </c>
      <c r="O80" s="79" t="s">
        <v>622</v>
      </c>
      <c r="P80" s="79" t="s">
        <v>42</v>
      </c>
      <c r="Q80" s="79" t="s">
        <v>623</v>
      </c>
      <c r="R80" s="81" t="s">
        <v>624</v>
      </c>
      <c r="S80" s="79" t="s">
        <v>625</v>
      </c>
      <c r="T80" s="81" t="s">
        <v>626</v>
      </c>
      <c r="U80" s="81" t="s">
        <v>627</v>
      </c>
      <c r="V80" s="81" t="s">
        <v>141</v>
      </c>
      <c r="W80" s="79" t="s">
        <v>628</v>
      </c>
      <c r="X80" s="79" t="s">
        <v>35</v>
      </c>
      <c r="Y80" s="80" t="s">
        <v>36</v>
      </c>
      <c r="Z80" s="79" t="s">
        <v>629</v>
      </c>
      <c r="AA80" s="79" t="s">
        <v>630</v>
      </c>
      <c r="AB80" s="81" t="s">
        <v>631</v>
      </c>
      <c r="AC80" s="81"/>
      <c r="AD80" s="76" t="s">
        <v>632</v>
      </c>
      <c r="AE80" s="77" t="s">
        <v>147</v>
      </c>
      <c r="AF80" s="78" t="s">
        <v>633</v>
      </c>
    </row>
    <row r="81" ht="15.75" customHeight="1">
      <c r="A81" s="52">
        <v>2021.0</v>
      </c>
      <c r="B81" s="10" t="s">
        <v>130</v>
      </c>
      <c r="C81" s="70">
        <v>11.0</v>
      </c>
      <c r="D81" s="135" t="s">
        <v>419</v>
      </c>
      <c r="E81" s="73" t="s">
        <v>179</v>
      </c>
      <c r="F81" s="99" t="s">
        <v>420</v>
      </c>
      <c r="G81" s="79">
        <v>15.0</v>
      </c>
      <c r="H81" s="79" t="s">
        <v>35</v>
      </c>
      <c r="I81" s="80" t="s">
        <v>36</v>
      </c>
      <c r="J81" s="79" t="s">
        <v>421</v>
      </c>
      <c r="K81" s="79" t="s">
        <v>422</v>
      </c>
      <c r="L81" s="79" t="s">
        <v>423</v>
      </c>
      <c r="M81" s="79"/>
      <c r="N81" s="79" t="s">
        <v>424</v>
      </c>
      <c r="O81" s="79" t="s">
        <v>425</v>
      </c>
      <c r="P81" s="79" t="s">
        <v>42</v>
      </c>
      <c r="Q81" s="79" t="s">
        <v>426</v>
      </c>
      <c r="R81" s="136" t="s">
        <v>427</v>
      </c>
      <c r="S81" s="79" t="s">
        <v>428</v>
      </c>
      <c r="T81" s="81" t="s">
        <v>429</v>
      </c>
      <c r="U81" s="81" t="s">
        <v>430</v>
      </c>
      <c r="V81" s="81" t="s">
        <v>431</v>
      </c>
      <c r="W81" s="79" t="s">
        <v>432</v>
      </c>
      <c r="X81" s="79" t="s">
        <v>35</v>
      </c>
      <c r="Y81" s="80" t="s">
        <v>36</v>
      </c>
      <c r="Z81" s="79" t="s">
        <v>433</v>
      </c>
      <c r="AA81" s="79" t="s">
        <v>434</v>
      </c>
      <c r="AB81" s="81" t="s">
        <v>435</v>
      </c>
      <c r="AC81" s="81"/>
      <c r="AD81" s="137" t="s">
        <v>436</v>
      </c>
      <c r="AE81" s="84" t="s">
        <v>437</v>
      </c>
      <c r="AF81" s="85" t="s">
        <v>438</v>
      </c>
    </row>
    <row r="82" ht="24.75" customHeight="1">
      <c r="A82" s="52">
        <v>2021.0</v>
      </c>
      <c r="B82" s="10" t="s">
        <v>130</v>
      </c>
      <c r="C82" s="70"/>
      <c r="D82" s="138" t="s">
        <v>634</v>
      </c>
      <c r="E82" s="20" t="s">
        <v>635</v>
      </c>
      <c r="F82" s="131">
        <v>38857.0</v>
      </c>
      <c r="G82" s="68">
        <v>15.0</v>
      </c>
      <c r="H82" s="68" t="s">
        <v>35</v>
      </c>
      <c r="I82" s="132" t="s">
        <v>36</v>
      </c>
      <c r="J82" s="68" t="s">
        <v>37</v>
      </c>
      <c r="K82" s="68" t="s">
        <v>38</v>
      </c>
      <c r="L82" s="68" t="s">
        <v>39</v>
      </c>
      <c r="M82" s="68"/>
      <c r="N82" s="68" t="s">
        <v>636</v>
      </c>
      <c r="O82" s="68" t="s">
        <v>637</v>
      </c>
      <c r="P82" s="79" t="s">
        <v>42</v>
      </c>
      <c r="Q82" s="131">
        <v>43649.0</v>
      </c>
      <c r="R82" s="115" t="s">
        <v>638</v>
      </c>
      <c r="S82" s="68" t="s">
        <v>639</v>
      </c>
      <c r="T82" s="115" t="s">
        <v>600</v>
      </c>
      <c r="U82" s="115" t="s">
        <v>640</v>
      </c>
      <c r="V82" s="115" t="s">
        <v>141</v>
      </c>
      <c r="W82" s="68" t="s">
        <v>641</v>
      </c>
      <c r="X82" s="68" t="s">
        <v>35</v>
      </c>
      <c r="Y82" s="132" t="s">
        <v>36</v>
      </c>
      <c r="Z82" s="68" t="s">
        <v>642</v>
      </c>
      <c r="AA82" s="68" t="s">
        <v>643</v>
      </c>
      <c r="AB82" s="68" t="s">
        <v>644</v>
      </c>
      <c r="AC82" s="68"/>
      <c r="AD82" s="115" t="s">
        <v>645</v>
      </c>
      <c r="AE82" s="133">
        <v>41640.0</v>
      </c>
      <c r="AF82" s="68" t="s">
        <v>646</v>
      </c>
    </row>
    <row r="83" ht="15.75" customHeight="1">
      <c r="A83" s="52">
        <v>2021.0</v>
      </c>
      <c r="B83" s="10" t="s">
        <v>130</v>
      </c>
      <c r="C83" s="70">
        <v>5.0</v>
      </c>
      <c r="D83" s="71" t="s">
        <v>647</v>
      </c>
      <c r="E83" s="73" t="s">
        <v>33</v>
      </c>
      <c r="F83" s="99" t="s">
        <v>648</v>
      </c>
      <c r="G83" s="79">
        <v>14.0</v>
      </c>
      <c r="H83" s="79" t="s">
        <v>35</v>
      </c>
      <c r="I83" s="80" t="s">
        <v>36</v>
      </c>
      <c r="J83" s="79" t="s">
        <v>421</v>
      </c>
      <c r="K83" s="79" t="s">
        <v>422</v>
      </c>
      <c r="L83" s="79" t="s">
        <v>423</v>
      </c>
      <c r="M83" s="79" t="s">
        <v>134</v>
      </c>
      <c r="N83" s="79" t="s">
        <v>649</v>
      </c>
      <c r="O83" s="81" t="s">
        <v>650</v>
      </c>
      <c r="P83" s="79" t="s">
        <v>42</v>
      </c>
      <c r="Q83" s="99">
        <v>43794.0</v>
      </c>
      <c r="R83" s="81" t="s">
        <v>651</v>
      </c>
      <c r="S83" s="79" t="s">
        <v>652</v>
      </c>
      <c r="T83" s="81" t="s">
        <v>653</v>
      </c>
      <c r="U83" s="81" t="s">
        <v>654</v>
      </c>
      <c r="V83" s="81" t="s">
        <v>521</v>
      </c>
      <c r="W83" s="79" t="s">
        <v>655</v>
      </c>
      <c r="X83" s="79" t="s">
        <v>35</v>
      </c>
      <c r="Y83" s="80" t="s">
        <v>36</v>
      </c>
      <c r="Z83" s="79" t="s">
        <v>656</v>
      </c>
      <c r="AA83" s="79" t="s">
        <v>657</v>
      </c>
      <c r="AB83" s="81"/>
      <c r="AC83" s="139"/>
      <c r="AD83" s="76" t="s">
        <v>658</v>
      </c>
      <c r="AE83" s="77" t="s">
        <v>71</v>
      </c>
      <c r="AF83" s="78" t="s">
        <v>659</v>
      </c>
    </row>
    <row r="84" ht="15.75" customHeight="1">
      <c r="A84" s="52">
        <v>2021.0</v>
      </c>
      <c r="B84" s="10" t="s">
        <v>130</v>
      </c>
      <c r="C84" s="70">
        <v>11.0</v>
      </c>
      <c r="D84" s="71" t="s">
        <v>189</v>
      </c>
      <c r="E84" s="73" t="s">
        <v>33</v>
      </c>
      <c r="F84" s="99" t="s">
        <v>190</v>
      </c>
      <c r="G84" s="79">
        <v>13.0</v>
      </c>
      <c r="H84" s="79" t="s">
        <v>35</v>
      </c>
      <c r="I84" s="80" t="s">
        <v>36</v>
      </c>
      <c r="J84" s="79" t="s">
        <v>37</v>
      </c>
      <c r="K84" s="79" t="s">
        <v>38</v>
      </c>
      <c r="L84" s="79" t="s">
        <v>39</v>
      </c>
      <c r="M84" s="79" t="s">
        <v>76</v>
      </c>
      <c r="N84" s="79" t="s">
        <v>191</v>
      </c>
      <c r="O84" s="79" t="s">
        <v>192</v>
      </c>
      <c r="P84" s="79" t="s">
        <v>42</v>
      </c>
      <c r="Q84" s="79" t="s">
        <v>193</v>
      </c>
      <c r="R84" s="81" t="s">
        <v>194</v>
      </c>
      <c r="S84" s="79" t="s">
        <v>195</v>
      </c>
      <c r="T84" s="81" t="s">
        <v>196</v>
      </c>
      <c r="U84" s="81" t="s">
        <v>197</v>
      </c>
      <c r="V84" s="81" t="s">
        <v>141</v>
      </c>
      <c r="W84" s="79" t="s">
        <v>198</v>
      </c>
      <c r="X84" s="79" t="s">
        <v>35</v>
      </c>
      <c r="Y84" s="80" t="s">
        <v>36</v>
      </c>
      <c r="Z84" s="79" t="s">
        <v>199</v>
      </c>
      <c r="AA84" s="81" t="s">
        <v>200</v>
      </c>
      <c r="AB84" s="81" t="str">
        <f>AB86</f>
        <v>71 999792931</v>
      </c>
      <c r="AC84" s="81"/>
      <c r="AD84" s="134" t="s">
        <v>660</v>
      </c>
      <c r="AE84" s="84" t="s">
        <v>147</v>
      </c>
      <c r="AF84" s="85" t="s">
        <v>202</v>
      </c>
    </row>
    <row r="85" ht="15.75" customHeight="1">
      <c r="A85" s="52">
        <v>2021.0</v>
      </c>
      <c r="B85" s="10" t="s">
        <v>130</v>
      </c>
      <c r="C85" s="70">
        <v>6.0</v>
      </c>
      <c r="D85" s="97" t="s">
        <v>203</v>
      </c>
      <c r="E85" s="98" t="s">
        <v>100</v>
      </c>
      <c r="F85" s="99" t="s">
        <v>190</v>
      </c>
      <c r="G85" s="79">
        <v>13.0</v>
      </c>
      <c r="H85" s="79" t="s">
        <v>205</v>
      </c>
      <c r="I85" s="80" t="s">
        <v>36</v>
      </c>
      <c r="J85" s="79" t="s">
        <v>37</v>
      </c>
      <c r="K85" s="79" t="s">
        <v>38</v>
      </c>
      <c r="L85" s="79" t="s">
        <v>39</v>
      </c>
      <c r="M85" s="79" t="s">
        <v>206</v>
      </c>
      <c r="N85" s="79" t="s">
        <v>207</v>
      </c>
      <c r="O85" s="79" t="s">
        <v>208</v>
      </c>
      <c r="P85" s="79" t="s">
        <v>42</v>
      </c>
      <c r="Q85" s="79" t="s">
        <v>209</v>
      </c>
      <c r="R85" s="81" t="s">
        <v>210</v>
      </c>
      <c r="S85" s="79" t="s">
        <v>211</v>
      </c>
      <c r="T85" s="81" t="s">
        <v>212</v>
      </c>
      <c r="U85" s="81" t="s">
        <v>213</v>
      </c>
      <c r="V85" s="81" t="s">
        <v>141</v>
      </c>
      <c r="W85" s="79" t="s">
        <v>214</v>
      </c>
      <c r="X85" s="79" t="s">
        <v>35</v>
      </c>
      <c r="Y85" s="80" t="s">
        <v>36</v>
      </c>
      <c r="Z85" s="79" t="s">
        <v>215</v>
      </c>
      <c r="AA85" s="79"/>
      <c r="AB85" s="81" t="s">
        <v>216</v>
      </c>
      <c r="AC85" s="81"/>
      <c r="AD85" s="83" t="s">
        <v>217</v>
      </c>
      <c r="AE85" s="84" t="s">
        <v>218</v>
      </c>
      <c r="AF85" s="85" t="s">
        <v>219</v>
      </c>
    </row>
    <row r="86" ht="15.75" customHeight="1">
      <c r="A86" s="52">
        <v>2021.0</v>
      </c>
      <c r="B86" s="10" t="s">
        <v>130</v>
      </c>
      <c r="C86" s="70">
        <v>11.0</v>
      </c>
      <c r="D86" s="140" t="s">
        <v>220</v>
      </c>
      <c r="E86" s="141" t="s">
        <v>33</v>
      </c>
      <c r="F86" s="120" t="s">
        <v>190</v>
      </c>
      <c r="G86" s="120">
        <v>13.0</v>
      </c>
      <c r="H86" s="120" t="s">
        <v>35</v>
      </c>
      <c r="I86" s="142" t="s">
        <v>36</v>
      </c>
      <c r="J86" s="120" t="s">
        <v>37</v>
      </c>
      <c r="K86" s="120" t="s">
        <v>38</v>
      </c>
      <c r="L86" s="120" t="s">
        <v>39</v>
      </c>
      <c r="M86" s="120" t="s">
        <v>76</v>
      </c>
      <c r="N86" s="120" t="s">
        <v>221</v>
      </c>
      <c r="O86" s="120" t="s">
        <v>222</v>
      </c>
      <c r="P86" s="120" t="s">
        <v>42</v>
      </c>
      <c r="Q86" s="120" t="s">
        <v>193</v>
      </c>
      <c r="R86" s="143" t="s">
        <v>194</v>
      </c>
      <c r="S86" s="120" t="s">
        <v>195</v>
      </c>
      <c r="T86" s="143" t="s">
        <v>196</v>
      </c>
      <c r="U86" s="143" t="s">
        <v>197</v>
      </c>
      <c r="V86" s="143" t="s">
        <v>141</v>
      </c>
      <c r="W86" s="120" t="s">
        <v>198</v>
      </c>
      <c r="X86" s="120" t="s">
        <v>35</v>
      </c>
      <c r="Y86" s="142" t="s">
        <v>36</v>
      </c>
      <c r="Z86" s="120" t="s">
        <v>199</v>
      </c>
      <c r="AA86" s="120" t="s">
        <v>661</v>
      </c>
      <c r="AB86" s="143" t="s">
        <v>223</v>
      </c>
      <c r="AC86" s="143"/>
      <c r="AD86" s="144" t="s">
        <v>662</v>
      </c>
      <c r="AE86" s="145" t="s">
        <v>147</v>
      </c>
      <c r="AF86" s="146" t="s">
        <v>224</v>
      </c>
    </row>
    <row r="87" ht="15.75" customHeight="1">
      <c r="A87" s="52">
        <v>2021.0</v>
      </c>
      <c r="B87" s="10" t="s">
        <v>130</v>
      </c>
      <c r="C87" s="147">
        <v>4.0</v>
      </c>
      <c r="D87" s="148" t="s">
        <v>663</v>
      </c>
      <c r="E87" s="55" t="s">
        <v>179</v>
      </c>
      <c r="F87" s="149">
        <v>38977.0</v>
      </c>
      <c r="G87" s="150">
        <f>2021-2006</f>
        <v>15</v>
      </c>
      <c r="H87" s="150" t="s">
        <v>35</v>
      </c>
      <c r="I87" s="151" t="s">
        <v>36</v>
      </c>
      <c r="J87" s="150" t="s">
        <v>37</v>
      </c>
      <c r="K87" s="150" t="s">
        <v>38</v>
      </c>
      <c r="L87" s="150" t="s">
        <v>39</v>
      </c>
      <c r="M87" s="150" t="s">
        <v>58</v>
      </c>
      <c r="N87" s="150" t="s">
        <v>664</v>
      </c>
      <c r="O87" s="150" t="s">
        <v>665</v>
      </c>
      <c r="P87" s="150" t="s">
        <v>42</v>
      </c>
      <c r="Q87" s="149">
        <v>41064.0</v>
      </c>
      <c r="R87" s="118" t="s">
        <v>666</v>
      </c>
      <c r="S87" s="150" t="s">
        <v>667</v>
      </c>
      <c r="T87" s="55" t="s">
        <v>668</v>
      </c>
      <c r="U87" s="55" t="s">
        <v>669</v>
      </c>
      <c r="V87" s="150" t="s">
        <v>252</v>
      </c>
      <c r="W87" s="150" t="s">
        <v>670</v>
      </c>
      <c r="X87" s="150" t="s">
        <v>35</v>
      </c>
      <c r="Y87" s="151" t="s">
        <v>36</v>
      </c>
      <c r="Z87" s="150" t="s">
        <v>671</v>
      </c>
      <c r="AA87" s="70" t="s">
        <v>566</v>
      </c>
      <c r="AB87" s="150"/>
      <c r="AC87" s="150"/>
      <c r="AD87" s="118" t="s">
        <v>672</v>
      </c>
      <c r="AE87" s="152">
        <v>565883.0</v>
      </c>
      <c r="AF87" s="150" t="s">
        <v>673</v>
      </c>
    </row>
    <row r="88" ht="45.0" customHeight="1">
      <c r="A88" s="52">
        <v>2021.0</v>
      </c>
      <c r="B88" s="10" t="s">
        <v>225</v>
      </c>
      <c r="C88" s="70">
        <v>4.0</v>
      </c>
      <c r="D88" s="71" t="s">
        <v>674</v>
      </c>
      <c r="E88" s="73" t="s">
        <v>132</v>
      </c>
      <c r="F88" s="99" t="s">
        <v>675</v>
      </c>
      <c r="G88" s="79">
        <v>14.0</v>
      </c>
      <c r="H88" s="79" t="s">
        <v>35</v>
      </c>
      <c r="I88" s="80" t="s">
        <v>36</v>
      </c>
      <c r="J88" s="79" t="s">
        <v>421</v>
      </c>
      <c r="K88" s="79" t="s">
        <v>422</v>
      </c>
      <c r="L88" s="79" t="s">
        <v>423</v>
      </c>
      <c r="M88" s="79" t="s">
        <v>76</v>
      </c>
      <c r="N88" s="79" t="s">
        <v>676</v>
      </c>
      <c r="O88" s="79">
        <v>2.140621557E9</v>
      </c>
      <c r="P88" s="79" t="s">
        <v>42</v>
      </c>
      <c r="Q88" s="99">
        <v>41685.0</v>
      </c>
      <c r="R88" s="81" t="s">
        <v>677</v>
      </c>
      <c r="S88" s="81" t="s">
        <v>676</v>
      </c>
      <c r="T88" s="81" t="s">
        <v>678</v>
      </c>
      <c r="U88" s="81" t="s">
        <v>679</v>
      </c>
      <c r="V88" s="81" t="s">
        <v>680</v>
      </c>
      <c r="W88" s="81" t="s">
        <v>681</v>
      </c>
      <c r="X88" s="81" t="s">
        <v>35</v>
      </c>
      <c r="Y88" s="136" t="s">
        <v>36</v>
      </c>
      <c r="Z88" s="81" t="s">
        <v>682</v>
      </c>
      <c r="AA88" s="81" t="s">
        <v>683</v>
      </c>
      <c r="AB88" s="81" t="s">
        <v>684</v>
      </c>
      <c r="AC88" s="81"/>
      <c r="AD88" s="83" t="s">
        <v>685</v>
      </c>
      <c r="AE88" s="84" t="s">
        <v>71</v>
      </c>
      <c r="AF88" s="153" t="s">
        <v>686</v>
      </c>
    </row>
    <row r="89" ht="15.75" customHeight="1">
      <c r="A89" s="52">
        <v>2021.0</v>
      </c>
      <c r="B89" s="10" t="s">
        <v>225</v>
      </c>
      <c r="C89" s="70">
        <v>5.0</v>
      </c>
      <c r="D89" s="97" t="s">
        <v>228</v>
      </c>
      <c r="E89" s="98" t="s">
        <v>179</v>
      </c>
      <c r="F89" s="99" t="s">
        <v>229</v>
      </c>
      <c r="G89" s="79">
        <v>14.0</v>
      </c>
      <c r="H89" s="79" t="s">
        <v>35</v>
      </c>
      <c r="I89" s="80" t="s">
        <v>36</v>
      </c>
      <c r="J89" s="79" t="s">
        <v>37</v>
      </c>
      <c r="K89" s="79" t="s">
        <v>38</v>
      </c>
      <c r="L89" s="79" t="s">
        <v>39</v>
      </c>
      <c r="M89" s="79"/>
      <c r="N89" s="79" t="s">
        <v>230</v>
      </c>
      <c r="O89" s="79">
        <v>2.142702465E9</v>
      </c>
      <c r="P89" s="79" t="s">
        <v>42</v>
      </c>
      <c r="Q89" s="79" t="s">
        <v>231</v>
      </c>
      <c r="R89" s="81" t="s">
        <v>232</v>
      </c>
      <c r="S89" s="79" t="s">
        <v>233</v>
      </c>
      <c r="T89" s="81" t="s">
        <v>234</v>
      </c>
      <c r="U89" s="81" t="s">
        <v>235</v>
      </c>
      <c r="V89" s="81" t="str">
        <f>V85</f>
        <v>Eng. Velho da Federação</v>
      </c>
      <c r="W89" s="79" t="s">
        <v>236</v>
      </c>
      <c r="X89" s="79" t="s">
        <v>35</v>
      </c>
      <c r="Y89" s="80" t="s">
        <v>36</v>
      </c>
      <c r="Z89" s="79" t="s">
        <v>237</v>
      </c>
      <c r="AA89" s="79"/>
      <c r="AB89" s="81" t="s">
        <v>455</v>
      </c>
      <c r="AC89" s="81"/>
      <c r="AD89" s="76" t="s">
        <v>238</v>
      </c>
      <c r="AE89" s="77" t="s">
        <v>147</v>
      </c>
      <c r="AF89" s="154" t="s">
        <v>239</v>
      </c>
    </row>
    <row r="90" ht="15.75" customHeight="1">
      <c r="A90" s="52">
        <v>2021.0</v>
      </c>
      <c r="B90" s="10" t="s">
        <v>225</v>
      </c>
      <c r="C90" s="70">
        <v>4.0</v>
      </c>
      <c r="D90" s="71" t="s">
        <v>687</v>
      </c>
      <c r="E90" s="73" t="s">
        <v>33</v>
      </c>
      <c r="F90" s="79" t="s">
        <v>688</v>
      </c>
      <c r="G90" s="79">
        <v>13.0</v>
      </c>
      <c r="H90" s="79" t="s">
        <v>35</v>
      </c>
      <c r="I90" s="80" t="s">
        <v>36</v>
      </c>
      <c r="J90" s="79" t="s">
        <v>37</v>
      </c>
      <c r="K90" s="79" t="s">
        <v>38</v>
      </c>
      <c r="L90" s="79" t="s">
        <v>39</v>
      </c>
      <c r="M90" s="79" t="s">
        <v>206</v>
      </c>
      <c r="N90" s="79" t="s">
        <v>689</v>
      </c>
      <c r="O90" s="79" t="s">
        <v>690</v>
      </c>
      <c r="P90" s="79" t="s">
        <v>42</v>
      </c>
      <c r="Q90" s="102" t="s">
        <v>691</v>
      </c>
      <c r="R90" s="81" t="s">
        <v>692</v>
      </c>
      <c r="S90" s="79" t="s">
        <v>693</v>
      </c>
      <c r="T90" s="81" t="s">
        <v>694</v>
      </c>
      <c r="U90" s="81" t="s">
        <v>695</v>
      </c>
      <c r="V90" s="81" t="s">
        <v>252</v>
      </c>
      <c r="W90" s="79" t="s">
        <v>696</v>
      </c>
      <c r="X90" s="79" t="s">
        <v>35</v>
      </c>
      <c r="Y90" s="80" t="s">
        <v>36</v>
      </c>
      <c r="Z90" s="81" t="s">
        <v>697</v>
      </c>
      <c r="AA90" s="79" t="s">
        <v>698</v>
      </c>
      <c r="AB90" s="81" t="s">
        <v>699</v>
      </c>
      <c r="AC90" s="81"/>
      <c r="AD90" s="76" t="s">
        <v>700</v>
      </c>
      <c r="AE90" s="77" t="s">
        <v>54</v>
      </c>
      <c r="AF90" s="154" t="s">
        <v>701</v>
      </c>
    </row>
    <row r="91" ht="15.75" customHeight="1">
      <c r="A91" s="52">
        <v>2021.0</v>
      </c>
      <c r="B91" s="10" t="s">
        <v>225</v>
      </c>
      <c r="C91" s="70">
        <v>6.0</v>
      </c>
      <c r="D91" s="97" t="s">
        <v>243</v>
      </c>
      <c r="E91" s="98" t="s">
        <v>179</v>
      </c>
      <c r="F91" s="79" t="s">
        <v>244</v>
      </c>
      <c r="G91" s="79">
        <v>15.0</v>
      </c>
      <c r="H91" s="79" t="s">
        <v>35</v>
      </c>
      <c r="I91" s="80" t="s">
        <v>36</v>
      </c>
      <c r="J91" s="79" t="s">
        <v>37</v>
      </c>
      <c r="K91" s="79" t="s">
        <v>38</v>
      </c>
      <c r="L91" s="79" t="s">
        <v>39</v>
      </c>
      <c r="M91" s="79" t="s">
        <v>134</v>
      </c>
      <c r="N91" s="79" t="s">
        <v>245</v>
      </c>
      <c r="O91" s="79" t="s">
        <v>246</v>
      </c>
      <c r="P91" s="79" t="s">
        <v>42</v>
      </c>
      <c r="Q91" s="79" t="s">
        <v>247</v>
      </c>
      <c r="R91" s="81" t="s">
        <v>248</v>
      </c>
      <c r="S91" s="79" t="s">
        <v>249</v>
      </c>
      <c r="T91" s="81" t="s">
        <v>250</v>
      </c>
      <c r="U91" s="81" t="s">
        <v>251</v>
      </c>
      <c r="V91" s="81" t="s">
        <v>252</v>
      </c>
      <c r="W91" s="79" t="s">
        <v>253</v>
      </c>
      <c r="X91" s="79" t="s">
        <v>35</v>
      </c>
      <c r="Y91" s="80" t="s">
        <v>36</v>
      </c>
      <c r="Z91" s="79" t="s">
        <v>254</v>
      </c>
      <c r="AA91" s="79"/>
      <c r="AB91" s="81" t="s">
        <v>255</v>
      </c>
      <c r="AC91" s="81"/>
      <c r="AD91" s="76" t="s">
        <v>256</v>
      </c>
      <c r="AE91" s="77" t="s">
        <v>147</v>
      </c>
      <c r="AF91" s="154" t="s">
        <v>257</v>
      </c>
    </row>
    <row r="92" ht="15.75" customHeight="1">
      <c r="A92" s="52">
        <v>2021.0</v>
      </c>
      <c r="B92" s="10" t="s">
        <v>225</v>
      </c>
      <c r="C92" s="70">
        <v>11.0</v>
      </c>
      <c r="D92" s="140" t="s">
        <v>258</v>
      </c>
      <c r="E92" s="155" t="s">
        <v>179</v>
      </c>
      <c r="F92" s="120" t="s">
        <v>259</v>
      </c>
      <c r="G92" s="120">
        <v>14.0</v>
      </c>
      <c r="H92" s="120" t="s">
        <v>35</v>
      </c>
      <c r="I92" s="142" t="s">
        <v>36</v>
      </c>
      <c r="J92" s="120" t="s">
        <v>37</v>
      </c>
      <c r="K92" s="120" t="s">
        <v>38</v>
      </c>
      <c r="L92" s="120" t="s">
        <v>39</v>
      </c>
      <c r="M92" s="120" t="s">
        <v>206</v>
      </c>
      <c r="N92" s="120" t="s">
        <v>260</v>
      </c>
      <c r="O92" s="120" t="s">
        <v>261</v>
      </c>
      <c r="P92" s="120" t="s">
        <v>42</v>
      </c>
      <c r="Q92" s="120" t="s">
        <v>262</v>
      </c>
      <c r="R92" s="143" t="s">
        <v>263</v>
      </c>
      <c r="S92" s="120" t="s">
        <v>63</v>
      </c>
      <c r="T92" s="143" t="s">
        <v>264</v>
      </c>
      <c r="U92" s="143" t="s">
        <v>213</v>
      </c>
      <c r="V92" s="143" t="s">
        <v>252</v>
      </c>
      <c r="W92" s="120" t="s">
        <v>265</v>
      </c>
      <c r="X92" s="120" t="s">
        <v>35</v>
      </c>
      <c r="Y92" s="142" t="s">
        <v>36</v>
      </c>
      <c r="Z92" s="143" t="s">
        <v>266</v>
      </c>
      <c r="AA92" s="120" t="s">
        <v>267</v>
      </c>
      <c r="AB92" s="143" t="s">
        <v>268</v>
      </c>
      <c r="AC92" s="143"/>
      <c r="AD92" s="156" t="s">
        <v>269</v>
      </c>
      <c r="AE92" s="145" t="s">
        <v>147</v>
      </c>
      <c r="AF92" s="157" t="s">
        <v>270</v>
      </c>
    </row>
    <row r="93" ht="15.75" customHeight="1">
      <c r="A93" s="52">
        <v>2021.0</v>
      </c>
      <c r="B93" s="10" t="s">
        <v>225</v>
      </c>
      <c r="C93" s="70">
        <v>11.0</v>
      </c>
      <c r="D93" s="158" t="s">
        <v>439</v>
      </c>
      <c r="E93" s="55" t="s">
        <v>179</v>
      </c>
      <c r="F93" s="32">
        <v>38836.0</v>
      </c>
      <c r="G93" s="68">
        <v>15.0</v>
      </c>
      <c r="H93" s="20" t="s">
        <v>440</v>
      </c>
      <c r="I93" s="21" t="s">
        <v>36</v>
      </c>
      <c r="J93" s="20" t="s">
        <v>421</v>
      </c>
      <c r="K93" s="20" t="s">
        <v>422</v>
      </c>
      <c r="L93" s="20" t="s">
        <v>423</v>
      </c>
      <c r="M93" s="20"/>
      <c r="N93" s="20" t="s">
        <v>441</v>
      </c>
      <c r="O93" s="20" t="s">
        <v>442</v>
      </c>
      <c r="P93" s="20" t="s">
        <v>42</v>
      </c>
      <c r="Q93" s="35" t="s">
        <v>443</v>
      </c>
      <c r="R93" s="24" t="s">
        <v>444</v>
      </c>
      <c r="S93" s="20" t="s">
        <v>445</v>
      </c>
      <c r="T93" s="24" t="s">
        <v>446</v>
      </c>
      <c r="U93" s="24" t="s">
        <v>447</v>
      </c>
      <c r="V93" s="24" t="s">
        <v>252</v>
      </c>
      <c r="W93" s="20" t="s">
        <v>448</v>
      </c>
      <c r="X93" s="20" t="s">
        <v>35</v>
      </c>
      <c r="Y93" s="21" t="s">
        <v>36</v>
      </c>
      <c r="Z93" s="20" t="s">
        <v>449</v>
      </c>
      <c r="AA93" s="20" t="s">
        <v>450</v>
      </c>
      <c r="AB93" s="24" t="s">
        <v>451</v>
      </c>
      <c r="AC93" s="20"/>
      <c r="AD93" s="46" t="s">
        <v>452</v>
      </c>
      <c r="AE93" s="159" t="s">
        <v>453</v>
      </c>
      <c r="AF93" s="19" t="s">
        <v>454</v>
      </c>
    </row>
    <row r="94" ht="15.75" customHeight="1">
      <c r="A94" s="52">
        <v>2021.0</v>
      </c>
      <c r="B94" s="10" t="s">
        <v>225</v>
      </c>
      <c r="C94" s="70">
        <v>4.0</v>
      </c>
      <c r="D94" s="158" t="s">
        <v>702</v>
      </c>
      <c r="E94" s="55" t="s">
        <v>703</v>
      </c>
      <c r="F94" s="131">
        <v>38689.0</v>
      </c>
      <c r="G94" s="68">
        <f>2021-2005</f>
        <v>16</v>
      </c>
      <c r="H94" s="68" t="s">
        <v>35</v>
      </c>
      <c r="I94" s="132" t="s">
        <v>36</v>
      </c>
      <c r="J94" s="68" t="s">
        <v>37</v>
      </c>
      <c r="K94" s="68" t="s">
        <v>38</v>
      </c>
      <c r="L94" s="68" t="s">
        <v>39</v>
      </c>
      <c r="M94" s="68"/>
      <c r="N94" s="68" t="s">
        <v>704</v>
      </c>
      <c r="O94" s="68">
        <v>2.344823387E9</v>
      </c>
      <c r="P94" s="68" t="s">
        <v>42</v>
      </c>
      <c r="Q94" s="131">
        <v>43777.0</v>
      </c>
      <c r="R94" s="115" t="s">
        <v>705</v>
      </c>
      <c r="S94" s="68" t="s">
        <v>706</v>
      </c>
      <c r="T94" s="115" t="s">
        <v>707</v>
      </c>
      <c r="U94" s="115" t="s">
        <v>708</v>
      </c>
      <c r="V94" s="68" t="s">
        <v>252</v>
      </c>
      <c r="W94" s="68" t="s">
        <v>709</v>
      </c>
      <c r="X94" s="68" t="s">
        <v>35</v>
      </c>
      <c r="Y94" s="132" t="s">
        <v>36</v>
      </c>
      <c r="Z94" s="68" t="s">
        <v>710</v>
      </c>
      <c r="AA94" s="68" t="s">
        <v>711</v>
      </c>
      <c r="AB94" s="68"/>
      <c r="AC94" s="68"/>
      <c r="AD94" s="115" t="s">
        <v>712</v>
      </c>
      <c r="AE94" s="133">
        <v>565883.0</v>
      </c>
      <c r="AF94" s="68" t="s">
        <v>713</v>
      </c>
    </row>
    <row r="95" ht="15.75" customHeight="1">
      <c r="A95" s="52">
        <v>2021.0</v>
      </c>
      <c r="B95" s="10" t="s">
        <v>225</v>
      </c>
      <c r="C95" s="70">
        <v>4.0</v>
      </c>
      <c r="D95" s="158" t="s">
        <v>714</v>
      </c>
      <c r="E95" s="55" t="s">
        <v>703</v>
      </c>
      <c r="F95" s="131">
        <v>38799.0</v>
      </c>
      <c r="G95" s="68">
        <v>15.0</v>
      </c>
      <c r="H95" s="68" t="s">
        <v>35</v>
      </c>
      <c r="I95" s="132" t="s">
        <v>36</v>
      </c>
      <c r="J95" s="68" t="s">
        <v>421</v>
      </c>
      <c r="K95" s="68" t="s">
        <v>422</v>
      </c>
      <c r="L95" s="68" t="s">
        <v>423</v>
      </c>
      <c r="M95" s="68" t="s">
        <v>76</v>
      </c>
      <c r="N95" s="68" t="s">
        <v>715</v>
      </c>
      <c r="O95" s="68">
        <v>2.233931505E9</v>
      </c>
      <c r="P95" s="68" t="s">
        <v>42</v>
      </c>
      <c r="Q95" s="160">
        <v>42702.0</v>
      </c>
      <c r="R95" s="115" t="s">
        <v>716</v>
      </c>
      <c r="S95" s="68" t="s">
        <v>717</v>
      </c>
      <c r="T95" s="115" t="s">
        <v>600</v>
      </c>
      <c r="U95" s="115" t="s">
        <v>718</v>
      </c>
      <c r="V95" s="115" t="s">
        <v>141</v>
      </c>
      <c r="W95" s="68" t="s">
        <v>641</v>
      </c>
      <c r="X95" s="68" t="s">
        <v>35</v>
      </c>
      <c r="Y95" s="132" t="s">
        <v>36</v>
      </c>
      <c r="Z95" s="68" t="s">
        <v>656</v>
      </c>
      <c r="AA95" s="68" t="s">
        <v>719</v>
      </c>
      <c r="AB95" s="68"/>
      <c r="AC95" s="68"/>
      <c r="AD95" s="115" t="s">
        <v>720</v>
      </c>
      <c r="AE95" s="68"/>
      <c r="AF95" s="68"/>
    </row>
    <row r="96" ht="15.75" customHeight="1">
      <c r="A96" s="52">
        <v>2021.0</v>
      </c>
      <c r="B96" s="10" t="s">
        <v>225</v>
      </c>
      <c r="C96" s="70">
        <v>11.0</v>
      </c>
      <c r="D96" s="161" t="s">
        <v>721</v>
      </c>
      <c r="E96" s="55" t="s">
        <v>703</v>
      </c>
      <c r="F96" s="131">
        <v>39129.0</v>
      </c>
      <c r="G96" s="68">
        <v>14.0</v>
      </c>
      <c r="H96" s="162" t="s">
        <v>35</v>
      </c>
      <c r="I96" s="163" t="s">
        <v>36</v>
      </c>
      <c r="J96" s="162" t="s">
        <v>421</v>
      </c>
      <c r="K96" s="162" t="s">
        <v>422</v>
      </c>
      <c r="L96" s="162" t="s">
        <v>423</v>
      </c>
      <c r="M96" s="162" t="s">
        <v>458</v>
      </c>
      <c r="N96" s="162" t="s">
        <v>459</v>
      </c>
      <c r="O96" s="79" t="s">
        <v>460</v>
      </c>
      <c r="P96" s="162" t="s">
        <v>42</v>
      </c>
      <c r="Q96" s="162" t="s">
        <v>461</v>
      </c>
      <c r="R96" s="164" t="s">
        <v>462</v>
      </c>
      <c r="S96" s="162" t="s">
        <v>463</v>
      </c>
      <c r="T96" s="165" t="s">
        <v>464</v>
      </c>
      <c r="U96" s="162" t="s">
        <v>465</v>
      </c>
      <c r="V96" s="166" t="s">
        <v>466</v>
      </c>
      <c r="W96" s="162" t="s">
        <v>467</v>
      </c>
      <c r="X96" s="162" t="s">
        <v>35</v>
      </c>
      <c r="Y96" s="163" t="s">
        <v>36</v>
      </c>
      <c r="Z96" s="162" t="s">
        <v>468</v>
      </c>
      <c r="AA96" s="162"/>
      <c r="AB96" s="166" t="s">
        <v>469</v>
      </c>
      <c r="AC96" s="166"/>
      <c r="AD96" s="167"/>
      <c r="AE96" s="167"/>
      <c r="AF96" s="167"/>
    </row>
    <row r="97" ht="15.75" customHeight="1">
      <c r="A97" s="52">
        <v>2021.0</v>
      </c>
      <c r="B97" s="10" t="s">
        <v>225</v>
      </c>
      <c r="C97" s="70">
        <v>4.0</v>
      </c>
      <c r="D97" s="158" t="s">
        <v>722</v>
      </c>
      <c r="E97" s="55" t="s">
        <v>179</v>
      </c>
      <c r="F97" s="131">
        <v>38769.0</v>
      </c>
      <c r="G97" s="68">
        <v>15.0</v>
      </c>
      <c r="H97" s="168" t="s">
        <v>35</v>
      </c>
      <c r="I97" s="163" t="s">
        <v>36</v>
      </c>
      <c r="J97" s="162" t="s">
        <v>37</v>
      </c>
      <c r="K97" s="162" t="s">
        <v>38</v>
      </c>
      <c r="L97" s="162" t="s">
        <v>39</v>
      </c>
      <c r="M97" s="164"/>
      <c r="N97" s="162" t="s">
        <v>723</v>
      </c>
      <c r="O97" s="79" t="s">
        <v>724</v>
      </c>
      <c r="P97" s="162" t="s">
        <v>42</v>
      </c>
      <c r="Q97" s="162" t="s">
        <v>725</v>
      </c>
      <c r="R97" s="164" t="s">
        <v>726</v>
      </c>
      <c r="S97" s="162" t="s">
        <v>727</v>
      </c>
      <c r="T97" s="165" t="s">
        <v>728</v>
      </c>
      <c r="U97" s="162" t="s">
        <v>729</v>
      </c>
      <c r="V97" s="166" t="s">
        <v>730</v>
      </c>
      <c r="W97" s="162" t="s">
        <v>564</v>
      </c>
      <c r="X97" s="162" t="s">
        <v>35</v>
      </c>
      <c r="Y97" s="163" t="s">
        <v>36</v>
      </c>
      <c r="Z97" s="162" t="s">
        <v>731</v>
      </c>
      <c r="AA97" s="162" t="s">
        <v>732</v>
      </c>
      <c r="AB97" s="166" t="s">
        <v>732</v>
      </c>
      <c r="AC97" s="164"/>
      <c r="AD97" s="169" t="s">
        <v>733</v>
      </c>
      <c r="AE97" s="162" t="s">
        <v>734</v>
      </c>
      <c r="AF97" s="170" t="s">
        <v>735</v>
      </c>
    </row>
    <row r="98" ht="15.75" customHeight="1">
      <c r="A98" s="52">
        <v>2021.0</v>
      </c>
      <c r="B98" s="10" t="s">
        <v>225</v>
      </c>
      <c r="C98" s="70">
        <v>4.0</v>
      </c>
      <c r="D98" s="158" t="s">
        <v>736</v>
      </c>
      <c r="E98" s="55" t="s">
        <v>179</v>
      </c>
      <c r="F98" s="131">
        <v>38447.0</v>
      </c>
      <c r="G98" s="68">
        <v>16.0</v>
      </c>
      <c r="H98" s="168" t="s">
        <v>35</v>
      </c>
      <c r="I98" s="163" t="s">
        <v>36</v>
      </c>
      <c r="J98" s="162" t="s">
        <v>37</v>
      </c>
      <c r="K98" s="162" t="s">
        <v>38</v>
      </c>
      <c r="L98" s="162" t="s">
        <v>39</v>
      </c>
      <c r="M98" s="68"/>
      <c r="N98" s="68" t="s">
        <v>737</v>
      </c>
      <c r="O98" s="68" t="s">
        <v>738</v>
      </c>
      <c r="P98" s="68" t="s">
        <v>42</v>
      </c>
      <c r="Q98" s="131">
        <v>42062.0</v>
      </c>
      <c r="R98" s="118" t="s">
        <v>739</v>
      </c>
      <c r="S98" s="171" t="s">
        <v>740</v>
      </c>
      <c r="T98" s="115" t="s">
        <v>741</v>
      </c>
      <c r="U98" s="115" t="s">
        <v>742</v>
      </c>
      <c r="V98" s="115" t="s">
        <v>369</v>
      </c>
      <c r="W98" s="68" t="s">
        <v>743</v>
      </c>
      <c r="X98" s="68" t="s">
        <v>35</v>
      </c>
      <c r="Y98" s="132" t="s">
        <v>36</v>
      </c>
      <c r="Z98" s="68"/>
      <c r="AA98" s="171" t="s">
        <v>744</v>
      </c>
      <c r="AB98" s="171" t="s">
        <v>745</v>
      </c>
      <c r="AC98" s="68"/>
      <c r="AD98" s="115"/>
      <c r="AE98" s="68"/>
      <c r="AF98" s="68"/>
    </row>
    <row r="99" ht="15.75" customHeight="1">
      <c r="A99" s="52">
        <v>2021.0</v>
      </c>
      <c r="B99" s="10" t="s">
        <v>271</v>
      </c>
      <c r="C99" s="70">
        <v>4.0</v>
      </c>
      <c r="D99" s="121" t="s">
        <v>746</v>
      </c>
      <c r="E99" s="172" t="s">
        <v>33</v>
      </c>
      <c r="F99" s="123" t="s">
        <v>747</v>
      </c>
      <c r="G99" s="79">
        <f>2021-2009</f>
        <v>12</v>
      </c>
      <c r="H99" s="124" t="s">
        <v>35</v>
      </c>
      <c r="I99" s="163" t="s">
        <v>36</v>
      </c>
      <c r="J99" s="124"/>
      <c r="K99" s="124" t="s">
        <v>38</v>
      </c>
      <c r="L99" s="124" t="s">
        <v>39</v>
      </c>
      <c r="M99" s="124" t="s">
        <v>76</v>
      </c>
      <c r="N99" s="124" t="s">
        <v>748</v>
      </c>
      <c r="O99" s="124" t="s">
        <v>749</v>
      </c>
      <c r="P99" s="124" t="s">
        <v>42</v>
      </c>
      <c r="Q99" s="124" t="s">
        <v>750</v>
      </c>
      <c r="R99" s="127" t="s">
        <v>751</v>
      </c>
      <c r="S99" s="124" t="s">
        <v>752</v>
      </c>
      <c r="T99" s="127" t="s">
        <v>753</v>
      </c>
      <c r="U99" s="127" t="s">
        <v>754</v>
      </c>
      <c r="V99" s="127" t="s">
        <v>755</v>
      </c>
      <c r="W99" s="124" t="s">
        <v>756</v>
      </c>
      <c r="X99" s="124" t="s">
        <v>35</v>
      </c>
      <c r="Y99" s="125" t="s">
        <v>36</v>
      </c>
      <c r="Z99" s="124" t="s">
        <v>757</v>
      </c>
      <c r="AA99" s="124" t="s">
        <v>758</v>
      </c>
      <c r="AB99" s="127"/>
      <c r="AC99" s="127"/>
      <c r="AD99" s="128" t="s">
        <v>759</v>
      </c>
      <c r="AE99" s="129" t="s">
        <v>320</v>
      </c>
      <c r="AF99" s="130" t="s">
        <v>760</v>
      </c>
    </row>
    <row r="100" ht="15.75" customHeight="1">
      <c r="A100" s="52">
        <v>2021.0</v>
      </c>
      <c r="B100" s="10" t="s">
        <v>271</v>
      </c>
      <c r="C100" s="70">
        <v>10.0</v>
      </c>
      <c r="D100" s="71" t="s">
        <v>274</v>
      </c>
      <c r="E100" s="73" t="s">
        <v>179</v>
      </c>
      <c r="F100" s="79" t="s">
        <v>275</v>
      </c>
      <c r="G100" s="79">
        <f>2021-2006</f>
        <v>15</v>
      </c>
      <c r="H100" s="79" t="s">
        <v>35</v>
      </c>
      <c r="I100" s="80" t="s">
        <v>36</v>
      </c>
      <c r="J100" s="79" t="s">
        <v>37</v>
      </c>
      <c r="K100" s="79" t="s">
        <v>38</v>
      </c>
      <c r="L100" s="79" t="s">
        <v>39</v>
      </c>
      <c r="M100" s="79" t="s">
        <v>134</v>
      </c>
      <c r="N100" s="79" t="s">
        <v>276</v>
      </c>
      <c r="O100" s="79">
        <v>1.662362765E9</v>
      </c>
      <c r="P100" s="79" t="s">
        <v>42</v>
      </c>
      <c r="Q100" s="79" t="s">
        <v>277</v>
      </c>
      <c r="R100" s="81" t="s">
        <v>278</v>
      </c>
      <c r="S100" s="79" t="s">
        <v>279</v>
      </c>
      <c r="T100" s="81" t="s">
        <v>280</v>
      </c>
      <c r="U100" s="81" t="s">
        <v>281</v>
      </c>
      <c r="V100" s="81" t="s">
        <v>282</v>
      </c>
      <c r="W100" s="79" t="s">
        <v>283</v>
      </c>
      <c r="X100" s="79" t="s">
        <v>35</v>
      </c>
      <c r="Y100" s="80" t="s">
        <v>36</v>
      </c>
      <c r="Z100" s="79" t="s">
        <v>284</v>
      </c>
      <c r="AA100" s="79" t="s">
        <v>285</v>
      </c>
      <c r="AB100" s="81" t="s">
        <v>286</v>
      </c>
      <c r="AC100" s="81"/>
      <c r="AD100" s="83" t="s">
        <v>287</v>
      </c>
      <c r="AE100" s="84" t="s">
        <v>218</v>
      </c>
      <c r="AF100" s="85" t="s">
        <v>288</v>
      </c>
    </row>
    <row r="101" ht="15.75" customHeight="1">
      <c r="A101" s="52">
        <v>2021.0</v>
      </c>
      <c r="B101" s="10" t="s">
        <v>271</v>
      </c>
      <c r="C101" s="70">
        <v>11.0</v>
      </c>
      <c r="D101" s="71" t="s">
        <v>289</v>
      </c>
      <c r="E101" s="73" t="s">
        <v>179</v>
      </c>
      <c r="F101" s="79" t="s">
        <v>290</v>
      </c>
      <c r="G101" s="79">
        <v>15.0</v>
      </c>
      <c r="H101" s="79" t="s">
        <v>35</v>
      </c>
      <c r="I101" s="80" t="s">
        <v>36</v>
      </c>
      <c r="J101" s="79" t="s">
        <v>37</v>
      </c>
      <c r="K101" s="79" t="s">
        <v>38</v>
      </c>
      <c r="L101" s="79" t="s">
        <v>39</v>
      </c>
      <c r="M101" s="79"/>
      <c r="N101" s="79" t="s">
        <v>291</v>
      </c>
      <c r="O101" s="79">
        <v>2.174513811E9</v>
      </c>
      <c r="P101" s="79" t="s">
        <v>42</v>
      </c>
      <c r="Q101" s="79" t="s">
        <v>292</v>
      </c>
      <c r="R101" s="81" t="s">
        <v>293</v>
      </c>
      <c r="S101" s="79" t="s">
        <v>294</v>
      </c>
      <c r="T101" s="81" t="s">
        <v>295</v>
      </c>
      <c r="U101" s="81" t="s">
        <v>296</v>
      </c>
      <c r="V101" s="81" t="s">
        <v>252</v>
      </c>
      <c r="W101" s="79" t="s">
        <v>297</v>
      </c>
      <c r="X101" s="79" t="s">
        <v>35</v>
      </c>
      <c r="Y101" s="80" t="s">
        <v>36</v>
      </c>
      <c r="Z101" s="81" t="s">
        <v>298</v>
      </c>
      <c r="AA101" s="79" t="s">
        <v>299</v>
      </c>
      <c r="AB101" s="81" t="s">
        <v>300</v>
      </c>
      <c r="AC101" s="81"/>
      <c r="AD101" s="76" t="s">
        <v>301</v>
      </c>
      <c r="AE101" s="77" t="s">
        <v>302</v>
      </c>
      <c r="AF101" s="78" t="s">
        <v>303</v>
      </c>
    </row>
    <row r="102" ht="15.75" customHeight="1">
      <c r="A102" s="52">
        <v>2021.0</v>
      </c>
      <c r="B102" s="10" t="s">
        <v>271</v>
      </c>
      <c r="C102" s="70">
        <v>4.0</v>
      </c>
      <c r="D102" s="173" t="s">
        <v>761</v>
      </c>
      <c r="E102" s="174" t="s">
        <v>132</v>
      </c>
      <c r="F102" s="120" t="s">
        <v>762</v>
      </c>
      <c r="G102" s="120">
        <v>14.0</v>
      </c>
      <c r="H102" s="120" t="s">
        <v>472</v>
      </c>
      <c r="I102" s="142" t="s">
        <v>36</v>
      </c>
      <c r="J102" s="120" t="s">
        <v>37</v>
      </c>
      <c r="K102" s="120" t="s">
        <v>38</v>
      </c>
      <c r="L102" s="120" t="s">
        <v>39</v>
      </c>
      <c r="M102" s="120" t="s">
        <v>134</v>
      </c>
      <c r="N102" s="120" t="s">
        <v>763</v>
      </c>
      <c r="O102" s="120" t="s">
        <v>764</v>
      </c>
      <c r="P102" s="120" t="s">
        <v>42</v>
      </c>
      <c r="Q102" s="120" t="s">
        <v>765</v>
      </c>
      <c r="R102" s="143" t="s">
        <v>766</v>
      </c>
      <c r="S102" s="120" t="s">
        <v>767</v>
      </c>
      <c r="T102" s="143" t="s">
        <v>768</v>
      </c>
      <c r="U102" s="143" t="s">
        <v>769</v>
      </c>
      <c r="V102" s="143" t="s">
        <v>770</v>
      </c>
      <c r="W102" s="120" t="s">
        <v>771</v>
      </c>
      <c r="X102" s="120" t="s">
        <v>35</v>
      </c>
      <c r="Y102" s="142" t="s">
        <v>36</v>
      </c>
      <c r="Z102" s="143" t="s">
        <v>772</v>
      </c>
      <c r="AA102" s="120" t="s">
        <v>773</v>
      </c>
      <c r="AB102" s="143" t="s">
        <v>773</v>
      </c>
      <c r="AC102" s="143"/>
      <c r="AD102" s="175" t="s">
        <v>774</v>
      </c>
      <c r="AE102" s="176" t="s">
        <v>71</v>
      </c>
      <c r="AF102" s="177" t="s">
        <v>775</v>
      </c>
    </row>
    <row r="103" ht="15.75" customHeight="1">
      <c r="A103" s="52">
        <v>2021.0</v>
      </c>
      <c r="B103" s="10" t="s">
        <v>271</v>
      </c>
      <c r="C103" s="70">
        <v>10.0</v>
      </c>
      <c r="D103" s="71" t="s">
        <v>306</v>
      </c>
      <c r="E103" s="73" t="s">
        <v>179</v>
      </c>
      <c r="F103" s="79" t="s">
        <v>307</v>
      </c>
      <c r="G103" s="79">
        <v>14.0</v>
      </c>
      <c r="H103" s="79" t="s">
        <v>35</v>
      </c>
      <c r="I103" s="80" t="s">
        <v>36</v>
      </c>
      <c r="J103" s="79" t="s">
        <v>37</v>
      </c>
      <c r="K103" s="79" t="s">
        <v>38</v>
      </c>
      <c r="L103" s="79" t="s">
        <v>39</v>
      </c>
      <c r="M103" s="79"/>
      <c r="N103" s="79" t="s">
        <v>308</v>
      </c>
      <c r="O103" s="79" t="s">
        <v>309</v>
      </c>
      <c r="P103" s="79" t="s">
        <v>42</v>
      </c>
      <c r="Q103" s="79" t="s">
        <v>310</v>
      </c>
      <c r="R103" s="81" t="s">
        <v>311</v>
      </c>
      <c r="S103" s="79" t="s">
        <v>312</v>
      </c>
      <c r="T103" s="81" t="s">
        <v>313</v>
      </c>
      <c r="U103" s="81" t="s">
        <v>314</v>
      </c>
      <c r="V103" s="81" t="s">
        <v>315</v>
      </c>
      <c r="W103" s="79" t="s">
        <v>316</v>
      </c>
      <c r="X103" s="79" t="s">
        <v>35</v>
      </c>
      <c r="Y103" s="80" t="s">
        <v>36</v>
      </c>
      <c r="Z103" s="81" t="s">
        <v>317</v>
      </c>
      <c r="AA103" s="79"/>
      <c r="AB103" s="81" t="s">
        <v>318</v>
      </c>
      <c r="AC103" s="81"/>
      <c r="AD103" s="83" t="s">
        <v>319</v>
      </c>
      <c r="AE103" s="84" t="s">
        <v>320</v>
      </c>
      <c r="AF103" s="85" t="s">
        <v>321</v>
      </c>
    </row>
    <row r="104" ht="15.75" customHeight="1">
      <c r="A104" s="52">
        <v>2021.0</v>
      </c>
      <c r="B104" s="10" t="s">
        <v>271</v>
      </c>
      <c r="C104" s="70">
        <v>6.0</v>
      </c>
      <c r="D104" s="97" t="s">
        <v>322</v>
      </c>
      <c r="E104" s="73" t="s">
        <v>179</v>
      </c>
      <c r="F104" s="79" t="s">
        <v>323</v>
      </c>
      <c r="G104" s="79">
        <v>15.0</v>
      </c>
      <c r="H104" s="79" t="s">
        <v>324</v>
      </c>
      <c r="I104" s="80" t="s">
        <v>36</v>
      </c>
      <c r="J104" s="79" t="s">
        <v>37</v>
      </c>
      <c r="K104" s="79" t="s">
        <v>38</v>
      </c>
      <c r="L104" s="79" t="s">
        <v>39</v>
      </c>
      <c r="M104" s="79"/>
      <c r="N104" s="79" t="s">
        <v>325</v>
      </c>
      <c r="O104" s="79" t="s">
        <v>326</v>
      </c>
      <c r="P104" s="79" t="s">
        <v>42</v>
      </c>
      <c r="Q104" s="79" t="s">
        <v>327</v>
      </c>
      <c r="R104" s="81" t="s">
        <v>328</v>
      </c>
      <c r="S104" s="79" t="s">
        <v>329</v>
      </c>
      <c r="T104" s="81" t="s">
        <v>330</v>
      </c>
      <c r="U104" s="81" t="s">
        <v>331</v>
      </c>
      <c r="V104" s="81" t="s">
        <v>332</v>
      </c>
      <c r="W104" s="79" t="s">
        <v>333</v>
      </c>
      <c r="X104" s="79" t="s">
        <v>334</v>
      </c>
      <c r="Y104" s="80" t="s">
        <v>36</v>
      </c>
      <c r="Z104" s="81" t="s">
        <v>335</v>
      </c>
      <c r="AA104" s="79"/>
      <c r="AB104" s="81" t="s">
        <v>336</v>
      </c>
      <c r="AC104" s="81"/>
      <c r="AD104" s="178" t="s">
        <v>337</v>
      </c>
      <c r="AE104" s="77" t="s">
        <v>338</v>
      </c>
      <c r="AF104" s="78" t="s">
        <v>339</v>
      </c>
    </row>
    <row r="105" ht="45.0" customHeight="1">
      <c r="A105" s="52">
        <v>2021.0</v>
      </c>
      <c r="B105" s="10" t="s">
        <v>340</v>
      </c>
      <c r="C105" s="70">
        <v>11.0</v>
      </c>
      <c r="D105" s="97" t="s">
        <v>341</v>
      </c>
      <c r="E105" s="73" t="s">
        <v>179</v>
      </c>
      <c r="F105" s="79" t="s">
        <v>342</v>
      </c>
      <c r="G105" s="79">
        <v>14.0</v>
      </c>
      <c r="H105" s="79" t="s">
        <v>343</v>
      </c>
      <c r="I105" s="81" t="s">
        <v>344</v>
      </c>
      <c r="J105" s="79" t="s">
        <v>37</v>
      </c>
      <c r="K105" s="79" t="s">
        <v>38</v>
      </c>
      <c r="L105" s="79" t="s">
        <v>39</v>
      </c>
      <c r="M105" s="79" t="s">
        <v>134</v>
      </c>
      <c r="N105" s="79" t="s">
        <v>345</v>
      </c>
      <c r="O105" s="79" t="s">
        <v>346</v>
      </c>
      <c r="P105" s="79" t="s">
        <v>347</v>
      </c>
      <c r="Q105" s="79" t="s">
        <v>348</v>
      </c>
      <c r="R105" s="81" t="s">
        <v>349</v>
      </c>
      <c r="S105" s="79" t="s">
        <v>350</v>
      </c>
      <c r="T105" s="81" t="s">
        <v>351</v>
      </c>
      <c r="U105" s="81" t="s">
        <v>352</v>
      </c>
      <c r="V105" s="81" t="s">
        <v>353</v>
      </c>
      <c r="W105" s="79" t="s">
        <v>354</v>
      </c>
      <c r="X105" s="79" t="s">
        <v>35</v>
      </c>
      <c r="Y105" s="80" t="s">
        <v>36</v>
      </c>
      <c r="Z105" s="79" t="s">
        <v>284</v>
      </c>
      <c r="AA105" s="79" t="s">
        <v>355</v>
      </c>
      <c r="AB105" s="81" t="s">
        <v>356</v>
      </c>
      <c r="AC105" s="81"/>
      <c r="AD105" s="83" t="s">
        <v>357</v>
      </c>
      <c r="AE105" s="84" t="s">
        <v>147</v>
      </c>
      <c r="AF105" s="85" t="s">
        <v>358</v>
      </c>
    </row>
    <row r="106" ht="15.75" customHeight="1">
      <c r="A106" s="52">
        <v>2021.0</v>
      </c>
      <c r="B106" s="10" t="s">
        <v>340</v>
      </c>
      <c r="C106" s="70">
        <v>10.0</v>
      </c>
      <c r="D106" s="71" t="s">
        <v>359</v>
      </c>
      <c r="E106" s="73" t="s">
        <v>179</v>
      </c>
      <c r="F106" s="79" t="s">
        <v>360</v>
      </c>
      <c r="G106" s="79">
        <v>16.0</v>
      </c>
      <c r="H106" s="79" t="s">
        <v>361</v>
      </c>
      <c r="I106" s="79" t="s">
        <v>362</v>
      </c>
      <c r="J106" s="79" t="s">
        <v>37</v>
      </c>
      <c r="K106" s="79" t="s">
        <v>38</v>
      </c>
      <c r="L106" s="79" t="s">
        <v>39</v>
      </c>
      <c r="M106" s="79" t="s">
        <v>76</v>
      </c>
      <c r="N106" s="79" t="s">
        <v>363</v>
      </c>
      <c r="O106" s="79">
        <v>3949800.0</v>
      </c>
      <c r="P106" s="79" t="s">
        <v>364</v>
      </c>
      <c r="Q106" s="79" t="s">
        <v>365</v>
      </c>
      <c r="R106" s="81" t="s">
        <v>366</v>
      </c>
      <c r="S106" s="79" t="s">
        <v>367</v>
      </c>
      <c r="T106" s="81" t="s">
        <v>212</v>
      </c>
      <c r="U106" s="81" t="s">
        <v>368</v>
      </c>
      <c r="V106" s="81" t="s">
        <v>369</v>
      </c>
      <c r="W106" s="79" t="s">
        <v>370</v>
      </c>
      <c r="X106" s="79" t="s">
        <v>50</v>
      </c>
      <c r="Y106" s="80" t="s">
        <v>36</v>
      </c>
      <c r="Z106" s="79" t="s">
        <v>371</v>
      </c>
      <c r="AA106" s="79"/>
      <c r="AB106" s="81" t="s">
        <v>372</v>
      </c>
      <c r="AC106" s="81"/>
      <c r="AD106" s="83" t="s">
        <v>373</v>
      </c>
      <c r="AE106" s="84" t="s">
        <v>71</v>
      </c>
      <c r="AF106" s="85" t="s">
        <v>374</v>
      </c>
    </row>
    <row r="107" ht="15.75" customHeight="1">
      <c r="A107" s="52">
        <v>2021.0</v>
      </c>
      <c r="B107" s="10" t="s">
        <v>340</v>
      </c>
      <c r="C107" s="70">
        <v>7.0</v>
      </c>
      <c r="D107" s="173" t="s">
        <v>375</v>
      </c>
      <c r="E107" s="174" t="s">
        <v>569</v>
      </c>
      <c r="F107" s="143" t="s">
        <v>376</v>
      </c>
      <c r="G107" s="143">
        <v>15.0</v>
      </c>
      <c r="H107" s="143" t="s">
        <v>35</v>
      </c>
      <c r="I107" s="179" t="s">
        <v>36</v>
      </c>
      <c r="J107" s="143" t="s">
        <v>37</v>
      </c>
      <c r="K107" s="143" t="s">
        <v>38</v>
      </c>
      <c r="L107" s="143" t="s">
        <v>39</v>
      </c>
      <c r="M107" s="180" t="s">
        <v>76</v>
      </c>
      <c r="N107" s="143" t="s">
        <v>377</v>
      </c>
      <c r="O107" s="143" t="s">
        <v>378</v>
      </c>
      <c r="P107" s="143" t="s">
        <v>42</v>
      </c>
      <c r="Q107" s="143" t="s">
        <v>379</v>
      </c>
      <c r="R107" s="143" t="s">
        <v>380</v>
      </c>
      <c r="S107" s="143" t="s">
        <v>381</v>
      </c>
      <c r="T107" s="143" t="s">
        <v>382</v>
      </c>
      <c r="U107" s="143" t="s">
        <v>383</v>
      </c>
      <c r="V107" s="143" t="s">
        <v>384</v>
      </c>
      <c r="W107" s="143" t="s">
        <v>385</v>
      </c>
      <c r="X107" s="143" t="s">
        <v>35</v>
      </c>
      <c r="Y107" s="179" t="s">
        <v>36</v>
      </c>
      <c r="Z107" s="143" t="s">
        <v>371</v>
      </c>
      <c r="AA107" s="143"/>
      <c r="AB107" s="143" t="s">
        <v>386</v>
      </c>
      <c r="AC107" s="143"/>
      <c r="AD107" s="156" t="s">
        <v>387</v>
      </c>
      <c r="AE107" s="145" t="s">
        <v>71</v>
      </c>
      <c r="AF107" s="144" t="s">
        <v>388</v>
      </c>
    </row>
    <row r="108" ht="15.75" customHeight="1">
      <c r="A108" s="52">
        <v>2021.0</v>
      </c>
      <c r="B108" s="10" t="s">
        <v>340</v>
      </c>
      <c r="C108" s="70">
        <v>4.0</v>
      </c>
      <c r="D108" s="181" t="s">
        <v>776</v>
      </c>
      <c r="E108" s="122" t="s">
        <v>132</v>
      </c>
      <c r="F108" s="127" t="s">
        <v>777</v>
      </c>
      <c r="G108" s="127">
        <v>13.0</v>
      </c>
      <c r="H108" s="127" t="s">
        <v>35</v>
      </c>
      <c r="I108" s="182" t="s">
        <v>36</v>
      </c>
      <c r="J108" s="124" t="s">
        <v>421</v>
      </c>
      <c r="K108" s="124" t="s">
        <v>422</v>
      </c>
      <c r="L108" s="124" t="s">
        <v>423</v>
      </c>
      <c r="M108" s="127" t="s">
        <v>206</v>
      </c>
      <c r="N108" s="127" t="s">
        <v>778</v>
      </c>
      <c r="O108" s="127" t="s">
        <v>779</v>
      </c>
      <c r="P108" s="127" t="s">
        <v>42</v>
      </c>
      <c r="Q108" s="127" t="s">
        <v>780</v>
      </c>
      <c r="R108" s="127" t="s">
        <v>781</v>
      </c>
      <c r="S108" s="124" t="s">
        <v>782</v>
      </c>
      <c r="T108" s="127" t="s">
        <v>783</v>
      </c>
      <c r="U108" s="127" t="s">
        <v>784</v>
      </c>
      <c r="V108" s="127" t="s">
        <v>141</v>
      </c>
      <c r="W108" s="127" t="s">
        <v>785</v>
      </c>
      <c r="X108" s="127" t="s">
        <v>35</v>
      </c>
      <c r="Y108" s="182" t="s">
        <v>36</v>
      </c>
      <c r="Z108" s="127" t="s">
        <v>786</v>
      </c>
      <c r="AA108" s="127" t="s">
        <v>787</v>
      </c>
      <c r="AB108" s="127">
        <v>71.0</v>
      </c>
      <c r="AC108" s="183"/>
      <c r="AD108" s="184"/>
      <c r="AE108" s="129" t="s">
        <v>527</v>
      </c>
      <c r="AF108" s="130" t="s">
        <v>788</v>
      </c>
    </row>
    <row r="109" ht="15.75" customHeight="1">
      <c r="A109" s="52">
        <v>2021.0</v>
      </c>
      <c r="B109" s="10" t="s">
        <v>340</v>
      </c>
      <c r="C109" s="70">
        <v>5.0</v>
      </c>
      <c r="D109" s="33" t="s">
        <v>789</v>
      </c>
      <c r="E109" s="55" t="s">
        <v>33</v>
      </c>
      <c r="F109" s="131">
        <v>39713.0</v>
      </c>
      <c r="G109" s="68">
        <f>2021-2008</f>
        <v>13</v>
      </c>
      <c r="H109" s="68" t="s">
        <v>35</v>
      </c>
      <c r="I109" s="132" t="s">
        <v>36</v>
      </c>
      <c r="J109" s="68" t="s">
        <v>37</v>
      </c>
      <c r="K109" s="68" t="s">
        <v>38</v>
      </c>
      <c r="L109" s="68" t="s">
        <v>39</v>
      </c>
      <c r="M109" s="68" t="s">
        <v>134</v>
      </c>
      <c r="N109" s="68" t="s">
        <v>790</v>
      </c>
      <c r="O109" s="68">
        <v>1.04986176E8</v>
      </c>
      <c r="P109" s="68" t="s">
        <v>42</v>
      </c>
      <c r="Q109" s="131">
        <v>43159.0</v>
      </c>
      <c r="R109" s="115" t="s">
        <v>791</v>
      </c>
      <c r="S109" s="68" t="s">
        <v>792</v>
      </c>
      <c r="T109" s="115" t="s">
        <v>793</v>
      </c>
      <c r="U109" s="115" t="s">
        <v>794</v>
      </c>
      <c r="V109" s="127" t="s">
        <v>141</v>
      </c>
      <c r="W109" s="68" t="s">
        <v>795</v>
      </c>
      <c r="X109" s="68" t="s">
        <v>35</v>
      </c>
      <c r="Y109" s="132" t="s">
        <v>36</v>
      </c>
      <c r="Z109" s="115" t="s">
        <v>266</v>
      </c>
      <c r="AA109" s="68" t="s">
        <v>796</v>
      </c>
      <c r="AB109" s="68" t="s">
        <v>797</v>
      </c>
      <c r="AC109" s="68"/>
      <c r="AD109" s="115" t="s">
        <v>798</v>
      </c>
      <c r="AE109" s="68" t="s">
        <v>527</v>
      </c>
      <c r="AF109" s="68" t="s">
        <v>799</v>
      </c>
    </row>
    <row r="110" ht="15.75" customHeight="1">
      <c r="A110" s="52">
        <v>2021.0</v>
      </c>
      <c r="B110" s="10" t="s">
        <v>340</v>
      </c>
      <c r="C110" s="70">
        <v>11.0</v>
      </c>
      <c r="D110" s="97" t="s">
        <v>487</v>
      </c>
      <c r="E110" s="98" t="s">
        <v>33</v>
      </c>
      <c r="F110" s="79" t="s">
        <v>488</v>
      </c>
      <c r="G110" s="79">
        <v>14.0</v>
      </c>
      <c r="H110" s="79" t="s">
        <v>35</v>
      </c>
      <c r="I110" s="80" t="s">
        <v>36</v>
      </c>
      <c r="J110" s="79" t="s">
        <v>37</v>
      </c>
      <c r="K110" s="79" t="s">
        <v>422</v>
      </c>
      <c r="L110" s="79" t="s">
        <v>423</v>
      </c>
      <c r="M110" s="79" t="s">
        <v>206</v>
      </c>
      <c r="N110" s="79" t="s">
        <v>489</v>
      </c>
      <c r="O110" s="79" t="s">
        <v>490</v>
      </c>
      <c r="P110" s="79" t="s">
        <v>42</v>
      </c>
      <c r="Q110" s="79" t="s">
        <v>491</v>
      </c>
      <c r="R110" s="81" t="s">
        <v>492</v>
      </c>
      <c r="S110" s="79" t="s">
        <v>493</v>
      </c>
      <c r="T110" s="81" t="s">
        <v>413</v>
      </c>
      <c r="U110" s="81" t="s">
        <v>494</v>
      </c>
      <c r="V110" s="81" t="s">
        <v>495</v>
      </c>
      <c r="W110" s="79" t="s">
        <v>496</v>
      </c>
      <c r="X110" s="79" t="s">
        <v>35</v>
      </c>
      <c r="Y110" s="80" t="s">
        <v>36</v>
      </c>
      <c r="Z110" s="79" t="s">
        <v>497</v>
      </c>
      <c r="AA110" s="79"/>
      <c r="AB110" s="81" t="s">
        <v>498</v>
      </c>
      <c r="AC110" s="81"/>
      <c r="AD110" s="76" t="s">
        <v>499</v>
      </c>
      <c r="AE110" s="77" t="s">
        <v>218</v>
      </c>
      <c r="AF110" s="78" t="s">
        <v>500</v>
      </c>
    </row>
    <row r="111" ht="15.75" customHeight="1">
      <c r="A111" s="52">
        <v>2021.0</v>
      </c>
      <c r="B111" s="10" t="s">
        <v>340</v>
      </c>
      <c r="C111" s="70">
        <v>5.0</v>
      </c>
      <c r="D111" s="33" t="s">
        <v>800</v>
      </c>
      <c r="E111" s="20" t="s">
        <v>179</v>
      </c>
      <c r="F111" s="131">
        <v>38873.0</v>
      </c>
      <c r="G111" s="68">
        <v>15.0</v>
      </c>
      <c r="H111" s="79" t="s">
        <v>35</v>
      </c>
      <c r="I111" s="80" t="s">
        <v>36</v>
      </c>
      <c r="J111" s="68" t="s">
        <v>421</v>
      </c>
      <c r="K111" s="68" t="s">
        <v>422</v>
      </c>
      <c r="L111" s="68" t="s">
        <v>423</v>
      </c>
      <c r="M111" s="68"/>
      <c r="N111" s="68" t="s">
        <v>801</v>
      </c>
      <c r="O111" s="68" t="s">
        <v>802</v>
      </c>
      <c r="P111" s="68" t="s">
        <v>42</v>
      </c>
      <c r="Q111" s="131">
        <v>42556.0</v>
      </c>
      <c r="R111" s="115" t="s">
        <v>803</v>
      </c>
      <c r="S111" s="68" t="s">
        <v>804</v>
      </c>
      <c r="T111" s="115" t="s">
        <v>783</v>
      </c>
      <c r="U111" s="115" t="s">
        <v>805</v>
      </c>
      <c r="V111" s="115" t="s">
        <v>141</v>
      </c>
      <c r="W111" s="68" t="s">
        <v>785</v>
      </c>
      <c r="X111" s="68" t="s">
        <v>35</v>
      </c>
      <c r="Y111" s="132" t="s">
        <v>36</v>
      </c>
      <c r="Z111" s="68" t="s">
        <v>806</v>
      </c>
      <c r="AA111" s="68" t="s">
        <v>807</v>
      </c>
      <c r="AB111" s="68"/>
      <c r="AC111" s="68"/>
      <c r="AD111" s="115" t="s">
        <v>808</v>
      </c>
      <c r="AE111" s="133">
        <v>565883.0</v>
      </c>
      <c r="AF111" s="68" t="s">
        <v>809</v>
      </c>
    </row>
    <row r="112" ht="15.75" customHeight="1">
      <c r="A112" s="52">
        <v>2021.0</v>
      </c>
      <c r="B112" s="10" t="s">
        <v>340</v>
      </c>
      <c r="C112" s="70">
        <v>4.0</v>
      </c>
      <c r="D112" s="71" t="s">
        <v>810</v>
      </c>
      <c r="E112" s="73" t="s">
        <v>132</v>
      </c>
      <c r="F112" s="79" t="s">
        <v>811</v>
      </c>
      <c r="G112" s="79">
        <v>13.0</v>
      </c>
      <c r="H112" s="79" t="s">
        <v>35</v>
      </c>
      <c r="I112" s="136" t="s">
        <v>36</v>
      </c>
      <c r="J112" s="79" t="s">
        <v>421</v>
      </c>
      <c r="K112" s="79" t="s">
        <v>572</v>
      </c>
      <c r="L112" s="79" t="s">
        <v>423</v>
      </c>
      <c r="M112" s="79"/>
      <c r="N112" s="79" t="s">
        <v>812</v>
      </c>
      <c r="O112" s="79" t="s">
        <v>813</v>
      </c>
      <c r="P112" s="79" t="s">
        <v>42</v>
      </c>
      <c r="Q112" s="79" t="s">
        <v>814</v>
      </c>
      <c r="R112" s="81" t="s">
        <v>815</v>
      </c>
      <c r="S112" s="79" t="s">
        <v>816</v>
      </c>
      <c r="T112" s="81" t="s">
        <v>413</v>
      </c>
      <c r="U112" s="81" t="s">
        <v>817</v>
      </c>
      <c r="V112" s="81" t="s">
        <v>680</v>
      </c>
      <c r="W112" s="79" t="s">
        <v>818</v>
      </c>
      <c r="X112" s="79" t="s">
        <v>50</v>
      </c>
      <c r="Y112" s="80" t="s">
        <v>36</v>
      </c>
      <c r="Z112" s="79" t="s">
        <v>819</v>
      </c>
      <c r="AA112" s="79" t="s">
        <v>820</v>
      </c>
      <c r="AB112" s="81" t="s">
        <v>821</v>
      </c>
      <c r="AC112" s="81"/>
      <c r="AD112" s="76" t="s">
        <v>822</v>
      </c>
      <c r="AE112" s="77" t="s">
        <v>147</v>
      </c>
      <c r="AF112" s="78" t="s">
        <v>823</v>
      </c>
    </row>
    <row r="113" ht="15.75" customHeight="1">
      <c r="A113" s="52">
        <v>2021.0</v>
      </c>
      <c r="B113" s="10" t="s">
        <v>340</v>
      </c>
      <c r="C113" s="70">
        <v>4.0</v>
      </c>
      <c r="D113" s="33" t="s">
        <v>824</v>
      </c>
      <c r="E113" s="55" t="s">
        <v>33</v>
      </c>
      <c r="F113" s="131">
        <v>39197.0</v>
      </c>
      <c r="G113" s="68">
        <v>14.0</v>
      </c>
      <c r="H113" s="68" t="s">
        <v>35</v>
      </c>
      <c r="I113" s="132" t="s">
        <v>36</v>
      </c>
      <c r="J113" s="79" t="s">
        <v>37</v>
      </c>
      <c r="K113" s="79" t="s">
        <v>38</v>
      </c>
      <c r="L113" s="79" t="s">
        <v>39</v>
      </c>
      <c r="M113" s="68" t="s">
        <v>76</v>
      </c>
      <c r="N113" s="68" t="s">
        <v>825</v>
      </c>
      <c r="O113" s="68" t="s">
        <v>826</v>
      </c>
      <c r="P113" s="68" t="s">
        <v>42</v>
      </c>
      <c r="Q113" s="160">
        <v>44158.0</v>
      </c>
      <c r="R113" s="115" t="s">
        <v>827</v>
      </c>
      <c r="S113" s="68" t="s">
        <v>828</v>
      </c>
      <c r="T113" s="115" t="s">
        <v>829</v>
      </c>
      <c r="U113" s="115" t="s">
        <v>830</v>
      </c>
      <c r="V113" s="115" t="str">
        <f>V114</f>
        <v>Eng. Velho da Federação</v>
      </c>
      <c r="W113" s="68" t="s">
        <v>831</v>
      </c>
      <c r="X113" s="68" t="s">
        <v>35</v>
      </c>
      <c r="Y113" s="132" t="s">
        <v>36</v>
      </c>
      <c r="Z113" s="68" t="s">
        <v>832</v>
      </c>
      <c r="AA113" s="68" t="s">
        <v>833</v>
      </c>
      <c r="AB113" s="68"/>
      <c r="AC113" s="68"/>
      <c r="AD113" s="115" t="s">
        <v>834</v>
      </c>
      <c r="AE113" s="77" t="s">
        <v>835</v>
      </c>
      <c r="AF113" s="68" t="s">
        <v>836</v>
      </c>
    </row>
    <row r="114" ht="15.75" customHeight="1">
      <c r="A114" s="52">
        <v>2021.0</v>
      </c>
      <c r="B114" s="10" t="s">
        <v>340</v>
      </c>
      <c r="C114" s="70">
        <v>4.0</v>
      </c>
      <c r="D114" s="71" t="s">
        <v>837</v>
      </c>
      <c r="E114" s="73" t="s">
        <v>132</v>
      </c>
      <c r="F114" s="99" t="s">
        <v>838</v>
      </c>
      <c r="G114" s="79">
        <v>13.0</v>
      </c>
      <c r="H114" s="79" t="s">
        <v>35</v>
      </c>
      <c r="I114" s="80" t="s">
        <v>36</v>
      </c>
      <c r="J114" s="79" t="s">
        <v>37</v>
      </c>
      <c r="K114" s="79" t="s">
        <v>38</v>
      </c>
      <c r="L114" s="79" t="s">
        <v>39</v>
      </c>
      <c r="M114" s="106" t="s">
        <v>76</v>
      </c>
      <c r="N114" s="79" t="s">
        <v>839</v>
      </c>
      <c r="O114" s="79" t="s">
        <v>840</v>
      </c>
      <c r="P114" s="79" t="s">
        <v>42</v>
      </c>
      <c r="Q114" s="79" t="s">
        <v>841</v>
      </c>
      <c r="R114" s="81" t="s">
        <v>842</v>
      </c>
      <c r="S114" s="79" t="s">
        <v>843</v>
      </c>
      <c r="T114" s="81" t="s">
        <v>844</v>
      </c>
      <c r="U114" s="81" t="s">
        <v>845</v>
      </c>
      <c r="V114" s="81" t="s">
        <v>141</v>
      </c>
      <c r="W114" s="79" t="s">
        <v>846</v>
      </c>
      <c r="X114" s="79" t="s">
        <v>35</v>
      </c>
      <c r="Y114" s="80" t="s">
        <v>36</v>
      </c>
      <c r="Z114" s="81" t="s">
        <v>847</v>
      </c>
      <c r="AA114" s="79" t="s">
        <v>848</v>
      </c>
      <c r="AB114" s="81" t="s">
        <v>849</v>
      </c>
      <c r="AC114" s="185"/>
      <c r="AD114" s="76" t="s">
        <v>850</v>
      </c>
      <c r="AE114" s="77" t="s">
        <v>147</v>
      </c>
      <c r="AF114" s="78" t="s">
        <v>851</v>
      </c>
    </row>
    <row r="115" ht="15.75" customHeight="1">
      <c r="A115" s="52">
        <v>2021.0</v>
      </c>
      <c r="B115" s="10" t="s">
        <v>340</v>
      </c>
      <c r="C115" s="147">
        <v>4.0</v>
      </c>
      <c r="D115" s="186" t="s">
        <v>852</v>
      </c>
      <c r="E115" s="55" t="s">
        <v>74</v>
      </c>
      <c r="F115" s="149">
        <v>39972.0</v>
      </c>
      <c r="G115" s="150">
        <v>12.0</v>
      </c>
      <c r="H115" s="150" t="s">
        <v>853</v>
      </c>
      <c r="I115" s="151" t="s">
        <v>36</v>
      </c>
      <c r="J115" s="187" t="s">
        <v>37</v>
      </c>
      <c r="K115" s="187" t="s">
        <v>38</v>
      </c>
      <c r="L115" s="187" t="s">
        <v>39</v>
      </c>
      <c r="M115" s="150"/>
      <c r="N115" s="150" t="s">
        <v>854</v>
      </c>
      <c r="O115" s="150" t="s">
        <v>855</v>
      </c>
      <c r="P115" s="150" t="s">
        <v>42</v>
      </c>
      <c r="Q115" s="149">
        <v>40563.0</v>
      </c>
      <c r="R115" s="55" t="s">
        <v>856</v>
      </c>
      <c r="S115" s="150" t="s">
        <v>857</v>
      </c>
      <c r="T115" s="55" t="s">
        <v>858</v>
      </c>
      <c r="U115" s="55" t="s">
        <v>859</v>
      </c>
      <c r="V115" s="55" t="s">
        <v>141</v>
      </c>
      <c r="W115" s="150" t="s">
        <v>860</v>
      </c>
      <c r="X115" s="150" t="s">
        <v>35</v>
      </c>
      <c r="Y115" s="151" t="s">
        <v>36</v>
      </c>
      <c r="Z115" s="150" t="s">
        <v>731</v>
      </c>
      <c r="AA115" s="150" t="s">
        <v>861</v>
      </c>
      <c r="AB115" s="150"/>
      <c r="AC115" s="150"/>
      <c r="AD115" s="188" t="s">
        <v>862</v>
      </c>
      <c r="AE115" s="152">
        <v>565883.0</v>
      </c>
      <c r="AF115" s="150" t="s">
        <v>863</v>
      </c>
    </row>
    <row r="116" ht="15.75" customHeight="1">
      <c r="A116" s="52">
        <v>2021.0</v>
      </c>
      <c r="B116" s="189" t="s">
        <v>864</v>
      </c>
      <c r="C116" s="70">
        <v>11.0</v>
      </c>
      <c r="D116" s="158" t="s">
        <v>389</v>
      </c>
      <c r="E116" s="20" t="s">
        <v>865</v>
      </c>
      <c r="F116" s="190">
        <v>38849.0</v>
      </c>
      <c r="G116" s="68">
        <f>DATEDIF(F116,"31/12/2021","Y")</f>
        <v>15</v>
      </c>
      <c r="H116" s="191" t="s">
        <v>35</v>
      </c>
      <c r="I116" s="192" t="s">
        <v>36</v>
      </c>
      <c r="J116" s="79" t="s">
        <v>37</v>
      </c>
      <c r="K116" s="79" t="s">
        <v>38</v>
      </c>
      <c r="L116" s="79" t="s">
        <v>39</v>
      </c>
      <c r="M116" s="191"/>
      <c r="N116" s="191" t="s">
        <v>392</v>
      </c>
      <c r="O116" s="191" t="s">
        <v>393</v>
      </c>
      <c r="P116" s="191" t="s">
        <v>866</v>
      </c>
      <c r="Q116" s="193">
        <v>42318.0</v>
      </c>
      <c r="R116" s="194" t="s">
        <v>232</v>
      </c>
      <c r="S116" s="191" t="s">
        <v>396</v>
      </c>
      <c r="T116" s="194" t="s">
        <v>867</v>
      </c>
      <c r="U116" s="194" t="s">
        <v>398</v>
      </c>
      <c r="V116" s="191" t="s">
        <v>868</v>
      </c>
      <c r="W116" s="191" t="s">
        <v>399</v>
      </c>
      <c r="X116" s="191" t="s">
        <v>35</v>
      </c>
      <c r="Y116" s="192" t="s">
        <v>36</v>
      </c>
      <c r="Z116" s="194" t="s">
        <v>400</v>
      </c>
      <c r="AA116" s="191"/>
      <c r="AB116" s="191" t="s">
        <v>869</v>
      </c>
      <c r="AC116" s="68"/>
      <c r="AD116" s="195" t="s">
        <v>870</v>
      </c>
      <c r="AE116" s="196">
        <v>41640.0</v>
      </c>
      <c r="AF116" s="191" t="s">
        <v>871</v>
      </c>
    </row>
    <row r="117" ht="15.75" customHeight="1">
      <c r="A117" s="52">
        <v>2021.0</v>
      </c>
      <c r="B117" s="189" t="s">
        <v>872</v>
      </c>
      <c r="C117" s="70">
        <v>5.0</v>
      </c>
      <c r="D117" s="158" t="s">
        <v>873</v>
      </c>
      <c r="E117" s="55" t="s">
        <v>179</v>
      </c>
      <c r="F117" s="32">
        <v>38155.0</v>
      </c>
      <c r="G117" s="68">
        <f>DATEDIF(F117,"31/12/2022","Y")</f>
        <v>18</v>
      </c>
      <c r="H117" s="20" t="s">
        <v>50</v>
      </c>
      <c r="I117" s="21" t="s">
        <v>36</v>
      </c>
      <c r="J117" s="20" t="s">
        <v>421</v>
      </c>
      <c r="K117" s="20" t="s">
        <v>422</v>
      </c>
      <c r="L117" s="20" t="s">
        <v>423</v>
      </c>
      <c r="M117" s="20"/>
      <c r="N117" s="20" t="s">
        <v>874</v>
      </c>
      <c r="O117" s="20" t="s">
        <v>875</v>
      </c>
      <c r="P117" s="20" t="s">
        <v>42</v>
      </c>
      <c r="Q117" s="35" t="s">
        <v>876</v>
      </c>
      <c r="R117" s="24" t="s">
        <v>877</v>
      </c>
      <c r="S117" s="20" t="s">
        <v>878</v>
      </c>
      <c r="T117" s="24" t="s">
        <v>879</v>
      </c>
      <c r="U117" s="24" t="s">
        <v>880</v>
      </c>
      <c r="V117" s="24" t="s">
        <v>252</v>
      </c>
      <c r="W117" s="20" t="s">
        <v>881</v>
      </c>
      <c r="X117" s="20" t="s">
        <v>35</v>
      </c>
      <c r="Y117" s="21" t="s">
        <v>36</v>
      </c>
      <c r="Z117" s="20" t="s">
        <v>497</v>
      </c>
      <c r="AA117" s="20">
        <v>71.0</v>
      </c>
      <c r="AB117" s="24" t="s">
        <v>882</v>
      </c>
      <c r="AC117" s="197"/>
      <c r="AD117" s="198" t="s">
        <v>883</v>
      </c>
      <c r="AE117" s="20" t="s">
        <v>884</v>
      </c>
      <c r="AF117" s="20" t="s">
        <v>885</v>
      </c>
    </row>
    <row r="118" ht="15.75" customHeight="1">
      <c r="A118" s="52">
        <v>2021.0</v>
      </c>
      <c r="B118" s="199" t="s">
        <v>886</v>
      </c>
      <c r="C118" s="147">
        <v>4.0</v>
      </c>
      <c r="D118" s="148" t="s">
        <v>887</v>
      </c>
      <c r="E118" s="200" t="s">
        <v>544</v>
      </c>
      <c r="F118" s="149">
        <v>38536.0</v>
      </c>
      <c r="G118" s="150">
        <v>16.0</v>
      </c>
      <c r="H118" s="20" t="s">
        <v>50</v>
      </c>
      <c r="I118" s="21" t="s">
        <v>36</v>
      </c>
      <c r="J118" s="20" t="s">
        <v>37</v>
      </c>
      <c r="K118" s="150" t="s">
        <v>38</v>
      </c>
      <c r="L118" s="150" t="s">
        <v>39</v>
      </c>
      <c r="M118" s="150"/>
      <c r="N118" s="150" t="s">
        <v>888</v>
      </c>
      <c r="O118" s="150" t="s">
        <v>889</v>
      </c>
      <c r="P118" s="150" t="s">
        <v>42</v>
      </c>
      <c r="Q118" s="149">
        <v>41803.0</v>
      </c>
      <c r="R118" s="55" t="s">
        <v>890</v>
      </c>
      <c r="S118" s="150" t="s">
        <v>891</v>
      </c>
      <c r="T118" s="55" t="s">
        <v>892</v>
      </c>
      <c r="U118" s="55" t="s">
        <v>893</v>
      </c>
      <c r="V118" s="150" t="s">
        <v>894</v>
      </c>
      <c r="W118" s="150" t="s">
        <v>895</v>
      </c>
      <c r="X118" s="150" t="s">
        <v>35</v>
      </c>
      <c r="Y118" s="151" t="s">
        <v>36</v>
      </c>
      <c r="Z118" s="150" t="s">
        <v>371</v>
      </c>
      <c r="AA118" s="150" t="s">
        <v>896</v>
      </c>
      <c r="AB118" s="150"/>
      <c r="AC118" s="150"/>
      <c r="AD118" s="55" t="s">
        <v>897</v>
      </c>
      <c r="AE118" s="152" t="s">
        <v>437</v>
      </c>
      <c r="AF118" s="150" t="s">
        <v>898</v>
      </c>
    </row>
    <row r="119" ht="15.75" customHeight="1">
      <c r="A119" s="52">
        <v>2021.0</v>
      </c>
      <c r="B119" s="199" t="s">
        <v>886</v>
      </c>
      <c r="C119" s="147">
        <v>4.0</v>
      </c>
      <c r="D119" s="148" t="s">
        <v>899</v>
      </c>
      <c r="E119" s="200" t="s">
        <v>900</v>
      </c>
      <c r="F119" s="149">
        <v>38400.0</v>
      </c>
      <c r="G119" s="150">
        <v>16.0</v>
      </c>
      <c r="H119" s="20" t="s">
        <v>50</v>
      </c>
      <c r="I119" s="151" t="s">
        <v>36</v>
      </c>
      <c r="J119" s="150" t="s">
        <v>37</v>
      </c>
      <c r="K119" s="150" t="s">
        <v>38</v>
      </c>
      <c r="L119" s="150" t="s">
        <v>39</v>
      </c>
      <c r="M119" s="150"/>
      <c r="N119" s="150" t="s">
        <v>901</v>
      </c>
      <c r="O119" s="150" t="s">
        <v>902</v>
      </c>
      <c r="P119" s="150" t="s">
        <v>42</v>
      </c>
      <c r="Q119" s="201">
        <v>43754.0</v>
      </c>
      <c r="R119" s="55" t="s">
        <v>903</v>
      </c>
      <c r="S119" s="150" t="s">
        <v>904</v>
      </c>
      <c r="T119" s="55" t="s">
        <v>905</v>
      </c>
      <c r="U119" s="55" t="s">
        <v>906</v>
      </c>
      <c r="V119" s="55" t="s">
        <v>141</v>
      </c>
      <c r="W119" s="150" t="s">
        <v>333</v>
      </c>
      <c r="X119" s="150" t="s">
        <v>35</v>
      </c>
      <c r="Y119" s="151" t="s">
        <v>36</v>
      </c>
      <c r="Z119" s="150" t="s">
        <v>497</v>
      </c>
      <c r="AA119" s="150" t="s">
        <v>907</v>
      </c>
      <c r="AB119" s="150"/>
      <c r="AC119" s="150"/>
      <c r="AD119" s="55" t="s">
        <v>908</v>
      </c>
      <c r="AE119" s="152">
        <v>41640.0</v>
      </c>
      <c r="AF119" s="150" t="s">
        <v>909</v>
      </c>
    </row>
    <row r="120" ht="15.75" customHeight="1">
      <c r="A120" s="52">
        <v>2021.0</v>
      </c>
      <c r="B120" s="199" t="s">
        <v>886</v>
      </c>
      <c r="C120" s="147">
        <v>4.0</v>
      </c>
      <c r="D120" s="148" t="s">
        <v>910</v>
      </c>
      <c r="E120" s="200" t="s">
        <v>900</v>
      </c>
      <c r="F120" s="149">
        <v>38790.0</v>
      </c>
      <c r="G120" s="150">
        <v>15.0</v>
      </c>
      <c r="H120" s="20" t="s">
        <v>50</v>
      </c>
      <c r="I120" s="151" t="s">
        <v>36</v>
      </c>
      <c r="J120" s="150" t="s">
        <v>37</v>
      </c>
      <c r="K120" s="150" t="s">
        <v>38</v>
      </c>
      <c r="L120" s="150" t="s">
        <v>39</v>
      </c>
      <c r="M120" s="150" t="s">
        <v>76</v>
      </c>
      <c r="N120" s="150" t="s">
        <v>911</v>
      </c>
      <c r="O120" s="150" t="s">
        <v>912</v>
      </c>
      <c r="P120" s="150" t="s">
        <v>42</v>
      </c>
      <c r="Q120" s="149">
        <v>41291.0</v>
      </c>
      <c r="R120" s="55" t="s">
        <v>913</v>
      </c>
      <c r="S120" s="150" t="s">
        <v>914</v>
      </c>
      <c r="T120" s="55" t="s">
        <v>915</v>
      </c>
      <c r="U120" s="55"/>
      <c r="V120" s="55" t="s">
        <v>916</v>
      </c>
      <c r="W120" s="150" t="s">
        <v>917</v>
      </c>
      <c r="X120" s="150" t="s">
        <v>35</v>
      </c>
      <c r="Y120" s="151" t="s">
        <v>36</v>
      </c>
      <c r="Z120" s="150" t="s">
        <v>199</v>
      </c>
      <c r="AA120" s="150" t="s">
        <v>918</v>
      </c>
      <c r="AB120" s="150"/>
      <c r="AC120" s="150"/>
      <c r="AD120" s="55" t="s">
        <v>919</v>
      </c>
      <c r="AE120" s="150"/>
      <c r="AF120" s="150"/>
    </row>
    <row r="121" ht="30.0" customHeight="1">
      <c r="A121" s="52">
        <v>2022.0</v>
      </c>
      <c r="B121" s="10" t="s">
        <v>31</v>
      </c>
      <c r="C121" s="68">
        <v>9.0</v>
      </c>
      <c r="D121" s="54" t="s">
        <v>32</v>
      </c>
      <c r="E121" s="20" t="s">
        <v>920</v>
      </c>
      <c r="F121" s="202">
        <v>38676.0</v>
      </c>
      <c r="G121" s="68">
        <f t="shared" ref="G121:G174" si="2">DATEDIF(F121,"31/12/2022","Y")</f>
        <v>17</v>
      </c>
      <c r="H121" s="55" t="s">
        <v>35</v>
      </c>
      <c r="I121" s="56" t="s">
        <v>36</v>
      </c>
      <c r="J121" s="55" t="s">
        <v>37</v>
      </c>
      <c r="K121" s="55" t="s">
        <v>38</v>
      </c>
      <c r="L121" s="55" t="s">
        <v>39</v>
      </c>
      <c r="M121" s="55"/>
      <c r="N121" s="55" t="s">
        <v>40</v>
      </c>
      <c r="O121" s="55" t="s">
        <v>41</v>
      </c>
      <c r="P121" s="55" t="s">
        <v>42</v>
      </c>
      <c r="Q121" s="55" t="s">
        <v>43</v>
      </c>
      <c r="R121" s="57" t="s">
        <v>44</v>
      </c>
      <c r="S121" s="55" t="s">
        <v>45</v>
      </c>
      <c r="T121" s="57" t="s">
        <v>46</v>
      </c>
      <c r="U121" s="55" t="s">
        <v>47</v>
      </c>
      <c r="V121" s="55" t="s">
        <v>48</v>
      </c>
      <c r="W121" s="55" t="s">
        <v>49</v>
      </c>
      <c r="X121" s="55" t="s">
        <v>50</v>
      </c>
      <c r="Y121" s="56" t="s">
        <v>36</v>
      </c>
      <c r="Z121" s="55" t="s">
        <v>51</v>
      </c>
      <c r="AA121" s="55"/>
      <c r="AB121" s="55" t="s">
        <v>52</v>
      </c>
      <c r="AC121" s="55"/>
      <c r="AD121" s="17" t="s">
        <v>53</v>
      </c>
      <c r="AE121" s="58" t="s">
        <v>54</v>
      </c>
      <c r="AF121" s="19" t="s">
        <v>55</v>
      </c>
    </row>
    <row r="122" ht="15.75" customHeight="1">
      <c r="A122" s="52">
        <v>2022.0</v>
      </c>
      <c r="B122" s="10" t="s">
        <v>31</v>
      </c>
      <c r="C122" s="68">
        <v>9.0</v>
      </c>
      <c r="D122" s="54" t="s">
        <v>56</v>
      </c>
      <c r="E122" s="20" t="s">
        <v>920</v>
      </c>
      <c r="F122" s="32">
        <v>38803.0</v>
      </c>
      <c r="G122" s="68">
        <f t="shared" si="2"/>
        <v>16</v>
      </c>
      <c r="H122" s="20" t="s">
        <v>35</v>
      </c>
      <c r="I122" s="21" t="s">
        <v>36</v>
      </c>
      <c r="J122" s="20" t="s">
        <v>37</v>
      </c>
      <c r="K122" s="20" t="s">
        <v>38</v>
      </c>
      <c r="L122" s="20" t="s">
        <v>39</v>
      </c>
      <c r="M122" s="20" t="s">
        <v>58</v>
      </c>
      <c r="N122" s="20" t="s">
        <v>59</v>
      </c>
      <c r="O122" s="20" t="s">
        <v>60</v>
      </c>
      <c r="P122" s="20" t="s">
        <v>42</v>
      </c>
      <c r="Q122" s="20" t="s">
        <v>61</v>
      </c>
      <c r="R122" s="23" t="s">
        <v>62</v>
      </c>
      <c r="S122" s="20" t="s">
        <v>63</v>
      </c>
      <c r="T122" s="23" t="s">
        <v>64</v>
      </c>
      <c r="U122" s="20" t="s">
        <v>65</v>
      </c>
      <c r="V122" s="24" t="s">
        <v>66</v>
      </c>
      <c r="W122" s="20" t="s">
        <v>67</v>
      </c>
      <c r="X122" s="20" t="s">
        <v>35</v>
      </c>
      <c r="Y122" s="21" t="s">
        <v>36</v>
      </c>
      <c r="Z122" s="24" t="s">
        <v>68</v>
      </c>
      <c r="AA122" s="20" t="s">
        <v>69</v>
      </c>
      <c r="AB122" s="24" t="s">
        <v>69</v>
      </c>
      <c r="AC122" s="24"/>
      <c r="AD122" s="25" t="s">
        <v>70</v>
      </c>
      <c r="AE122" s="61" t="s">
        <v>71</v>
      </c>
      <c r="AF122" s="27" t="s">
        <v>72</v>
      </c>
    </row>
    <row r="123" ht="15.75" customHeight="1">
      <c r="A123" s="52">
        <v>2022.0</v>
      </c>
      <c r="B123" s="10" t="s">
        <v>31</v>
      </c>
      <c r="C123" s="68">
        <v>7.0</v>
      </c>
      <c r="D123" s="54" t="s">
        <v>921</v>
      </c>
      <c r="E123" s="20" t="s">
        <v>100</v>
      </c>
      <c r="F123" s="32">
        <v>40104.0</v>
      </c>
      <c r="G123" s="68">
        <f t="shared" si="2"/>
        <v>13</v>
      </c>
      <c r="H123" s="20" t="s">
        <v>50</v>
      </c>
      <c r="I123" s="21" t="s">
        <v>36</v>
      </c>
      <c r="J123" s="20" t="s">
        <v>421</v>
      </c>
      <c r="K123" s="20" t="s">
        <v>422</v>
      </c>
      <c r="L123" s="20" t="s">
        <v>423</v>
      </c>
      <c r="M123" s="20"/>
      <c r="N123" s="20" t="s">
        <v>922</v>
      </c>
      <c r="O123" s="20" t="s">
        <v>923</v>
      </c>
      <c r="P123" s="20" t="s">
        <v>42</v>
      </c>
      <c r="Q123" s="32" t="s">
        <v>924</v>
      </c>
      <c r="R123" s="23" t="s">
        <v>925</v>
      </c>
      <c r="S123" s="20" t="s">
        <v>926</v>
      </c>
      <c r="T123" s="23" t="s">
        <v>927</v>
      </c>
      <c r="U123" s="24" t="s">
        <v>928</v>
      </c>
      <c r="V123" s="24" t="s">
        <v>48</v>
      </c>
      <c r="W123" s="20" t="s">
        <v>929</v>
      </c>
      <c r="X123" s="20" t="s">
        <v>35</v>
      </c>
      <c r="Y123" s="21" t="s">
        <v>36</v>
      </c>
      <c r="Z123" s="24" t="s">
        <v>930</v>
      </c>
      <c r="AA123" s="20" t="s">
        <v>931</v>
      </c>
      <c r="AB123" s="24" t="s">
        <v>932</v>
      </c>
      <c r="AC123" s="24"/>
      <c r="AD123" s="17" t="s">
        <v>933</v>
      </c>
      <c r="AE123" s="58" t="s">
        <v>71</v>
      </c>
      <c r="AF123" s="19" t="s">
        <v>934</v>
      </c>
    </row>
    <row r="124" ht="15.75" customHeight="1">
      <c r="A124" s="52">
        <v>2022.0</v>
      </c>
      <c r="B124" s="10" t="s">
        <v>31</v>
      </c>
      <c r="C124" s="68">
        <v>6.0</v>
      </c>
      <c r="D124" s="54" t="s">
        <v>543</v>
      </c>
      <c r="E124" s="20" t="s">
        <v>920</v>
      </c>
      <c r="F124" s="203">
        <v>38066.0</v>
      </c>
      <c r="G124" s="68">
        <f t="shared" si="2"/>
        <v>18</v>
      </c>
      <c r="H124" s="20" t="s">
        <v>35</v>
      </c>
      <c r="I124" s="21" t="s">
        <v>36</v>
      </c>
      <c r="J124" s="20" t="s">
        <v>37</v>
      </c>
      <c r="K124" s="20" t="s">
        <v>38</v>
      </c>
      <c r="L124" s="21" t="s">
        <v>39</v>
      </c>
      <c r="M124" s="20"/>
      <c r="N124" s="24" t="s">
        <v>546</v>
      </c>
      <c r="O124" s="24" t="s">
        <v>547</v>
      </c>
      <c r="P124" s="20" t="s">
        <v>42</v>
      </c>
      <c r="Q124" s="32">
        <v>44090.0</v>
      </c>
      <c r="R124" s="23" t="s">
        <v>548</v>
      </c>
      <c r="S124" s="20" t="s">
        <v>549</v>
      </c>
      <c r="T124" s="23" t="s">
        <v>550</v>
      </c>
      <c r="U124" s="20" t="s">
        <v>551</v>
      </c>
      <c r="V124" s="24" t="s">
        <v>48</v>
      </c>
      <c r="W124" s="20" t="s">
        <v>552</v>
      </c>
      <c r="X124" s="20" t="s">
        <v>35</v>
      </c>
      <c r="Y124" s="21" t="s">
        <v>36</v>
      </c>
      <c r="Z124" s="24" t="s">
        <v>371</v>
      </c>
      <c r="AA124" s="20" t="s">
        <v>553</v>
      </c>
      <c r="AB124" s="24" t="s">
        <v>554</v>
      </c>
      <c r="AC124" s="24"/>
      <c r="AD124" s="25" t="s">
        <v>555</v>
      </c>
      <c r="AE124" s="61" t="s">
        <v>54</v>
      </c>
      <c r="AF124" s="27" t="s">
        <v>556</v>
      </c>
    </row>
    <row r="125" ht="37.5" customHeight="1">
      <c r="A125" s="52">
        <v>2022.0</v>
      </c>
      <c r="B125" s="10" t="s">
        <v>31</v>
      </c>
      <c r="C125" s="68">
        <v>4.0</v>
      </c>
      <c r="D125" s="54" t="s">
        <v>529</v>
      </c>
      <c r="E125" s="20" t="s">
        <v>33</v>
      </c>
      <c r="F125" s="32">
        <v>39937.0</v>
      </c>
      <c r="G125" s="68">
        <f t="shared" si="2"/>
        <v>13</v>
      </c>
      <c r="H125" s="20" t="s">
        <v>35</v>
      </c>
      <c r="I125" s="21" t="s">
        <v>36</v>
      </c>
      <c r="J125" s="20" t="s">
        <v>421</v>
      </c>
      <c r="K125" s="20" t="s">
        <v>422</v>
      </c>
      <c r="L125" s="20" t="s">
        <v>423</v>
      </c>
      <c r="M125" s="20" t="s">
        <v>76</v>
      </c>
      <c r="N125" s="20" t="s">
        <v>531</v>
      </c>
      <c r="O125" s="20" t="s">
        <v>532</v>
      </c>
      <c r="P125" s="20" t="s">
        <v>42</v>
      </c>
      <c r="Q125" s="32">
        <v>40278.0</v>
      </c>
      <c r="R125" s="23" t="s">
        <v>533</v>
      </c>
      <c r="S125" s="20" t="s">
        <v>534</v>
      </c>
      <c r="T125" s="23" t="s">
        <v>535</v>
      </c>
      <c r="U125" s="20" t="s">
        <v>536</v>
      </c>
      <c r="V125" s="24" t="s">
        <v>141</v>
      </c>
      <c r="W125" s="20" t="s">
        <v>537</v>
      </c>
      <c r="X125" s="20" t="s">
        <v>35</v>
      </c>
      <c r="Y125" s="21" t="s">
        <v>36</v>
      </c>
      <c r="Z125" s="24" t="s">
        <v>538</v>
      </c>
      <c r="AA125" s="20" t="s">
        <v>935</v>
      </c>
      <c r="AB125" s="24" t="s">
        <v>540</v>
      </c>
      <c r="AC125" s="24"/>
      <c r="AD125" s="17" t="s">
        <v>541</v>
      </c>
      <c r="AE125" s="58" t="s">
        <v>147</v>
      </c>
      <c r="AF125" s="19" t="s">
        <v>542</v>
      </c>
    </row>
    <row r="126" ht="15.75" customHeight="1">
      <c r="A126" s="52">
        <v>2022.0</v>
      </c>
      <c r="B126" s="10" t="s">
        <v>31</v>
      </c>
      <c r="C126" s="68">
        <v>7.0</v>
      </c>
      <c r="D126" s="54" t="s">
        <v>936</v>
      </c>
      <c r="E126" s="55" t="s">
        <v>635</v>
      </c>
      <c r="F126" s="32">
        <v>39036.0</v>
      </c>
      <c r="G126" s="68">
        <f t="shared" si="2"/>
        <v>16</v>
      </c>
      <c r="H126" s="20" t="s">
        <v>35</v>
      </c>
      <c r="I126" s="21" t="s">
        <v>36</v>
      </c>
      <c r="J126" s="20" t="s">
        <v>37</v>
      </c>
      <c r="K126" s="20" t="s">
        <v>38</v>
      </c>
      <c r="L126" s="20" t="s">
        <v>39</v>
      </c>
      <c r="M126" s="20" t="s">
        <v>206</v>
      </c>
      <c r="N126" s="20" t="s">
        <v>937</v>
      </c>
      <c r="O126" s="20" t="s">
        <v>938</v>
      </c>
      <c r="P126" s="20" t="s">
        <v>42</v>
      </c>
      <c r="Q126" s="32" t="s">
        <v>939</v>
      </c>
      <c r="R126" s="23" t="s">
        <v>940</v>
      </c>
      <c r="S126" s="20" t="s">
        <v>941</v>
      </c>
      <c r="T126" s="23" t="s">
        <v>942</v>
      </c>
      <c r="U126" s="24" t="s">
        <v>943</v>
      </c>
      <c r="V126" s="24" t="s">
        <v>66</v>
      </c>
      <c r="W126" s="20" t="s">
        <v>944</v>
      </c>
      <c r="X126" s="20" t="s">
        <v>945</v>
      </c>
      <c r="Y126" s="21" t="s">
        <v>36</v>
      </c>
      <c r="Z126" s="24" t="s">
        <v>946</v>
      </c>
      <c r="AA126" s="20" t="s">
        <v>947</v>
      </c>
      <c r="AB126" s="24" t="s">
        <v>948</v>
      </c>
      <c r="AC126" s="24"/>
      <c r="AD126" s="25" t="s">
        <v>949</v>
      </c>
      <c r="AE126" s="61" t="s">
        <v>54</v>
      </c>
      <c r="AF126" s="27" t="s">
        <v>950</v>
      </c>
    </row>
    <row r="127" ht="15.75" customHeight="1">
      <c r="A127" s="52">
        <v>2022.0</v>
      </c>
      <c r="B127" s="10" t="s">
        <v>31</v>
      </c>
      <c r="C127" s="68">
        <v>9.0</v>
      </c>
      <c r="D127" s="54" t="s">
        <v>90</v>
      </c>
      <c r="E127" s="20" t="s">
        <v>920</v>
      </c>
      <c r="F127" s="32">
        <v>38676.0</v>
      </c>
      <c r="G127" s="68">
        <f t="shared" si="2"/>
        <v>17</v>
      </c>
      <c r="H127" s="20" t="s">
        <v>35</v>
      </c>
      <c r="I127" s="21" t="s">
        <v>36</v>
      </c>
      <c r="J127" s="20" t="s">
        <v>37</v>
      </c>
      <c r="K127" s="20" t="s">
        <v>38</v>
      </c>
      <c r="L127" s="20" t="s">
        <v>39</v>
      </c>
      <c r="M127" s="20"/>
      <c r="N127" s="20" t="s">
        <v>91</v>
      </c>
      <c r="O127" s="20" t="s">
        <v>92</v>
      </c>
      <c r="P127" s="20" t="s">
        <v>42</v>
      </c>
      <c r="Q127" s="20" t="s">
        <v>93</v>
      </c>
      <c r="R127" s="23" t="s">
        <v>44</v>
      </c>
      <c r="S127" s="20" t="s">
        <v>45</v>
      </c>
      <c r="T127" s="23" t="s">
        <v>94</v>
      </c>
      <c r="U127" s="20" t="s">
        <v>95</v>
      </c>
      <c r="V127" s="24" t="s">
        <v>48</v>
      </c>
      <c r="W127" s="55" t="s">
        <v>49</v>
      </c>
      <c r="X127" s="20" t="s">
        <v>35</v>
      </c>
      <c r="Y127" s="21" t="s">
        <v>36</v>
      </c>
      <c r="Z127" s="24"/>
      <c r="AA127" s="20"/>
      <c r="AB127" s="24" t="s">
        <v>96</v>
      </c>
      <c r="AC127" s="24"/>
      <c r="AD127" s="25" t="s">
        <v>97</v>
      </c>
      <c r="AE127" s="61" t="s">
        <v>54</v>
      </c>
      <c r="AF127" s="27" t="s">
        <v>98</v>
      </c>
    </row>
    <row r="128" ht="45.0" customHeight="1">
      <c r="A128" s="52">
        <v>2022.0</v>
      </c>
      <c r="B128" s="10" t="s">
        <v>130</v>
      </c>
      <c r="C128" s="68">
        <v>9.0</v>
      </c>
      <c r="D128" s="54" t="s">
        <v>131</v>
      </c>
      <c r="E128" s="55" t="s">
        <v>951</v>
      </c>
      <c r="F128" s="32">
        <v>39220.0</v>
      </c>
      <c r="G128" s="68">
        <f t="shared" si="2"/>
        <v>15</v>
      </c>
      <c r="H128" s="20" t="s">
        <v>35</v>
      </c>
      <c r="I128" s="21" t="s">
        <v>36</v>
      </c>
      <c r="J128" s="20" t="s">
        <v>37</v>
      </c>
      <c r="K128" s="20" t="s">
        <v>38</v>
      </c>
      <c r="L128" s="20" t="s">
        <v>39</v>
      </c>
      <c r="M128" s="20" t="s">
        <v>134</v>
      </c>
      <c r="N128" s="20" t="s">
        <v>135</v>
      </c>
      <c r="O128" s="20">
        <v>1.587248522E9</v>
      </c>
      <c r="P128" s="20" t="s">
        <v>42</v>
      </c>
      <c r="Q128" s="20" t="s">
        <v>136</v>
      </c>
      <c r="R128" s="23" t="s">
        <v>137</v>
      </c>
      <c r="S128" s="20" t="s">
        <v>138</v>
      </c>
      <c r="T128" s="23" t="s">
        <v>139</v>
      </c>
      <c r="U128" s="20" t="s">
        <v>140</v>
      </c>
      <c r="V128" s="24" t="s">
        <v>141</v>
      </c>
      <c r="W128" s="20" t="s">
        <v>142</v>
      </c>
      <c r="X128" s="20" t="s">
        <v>35</v>
      </c>
      <c r="Y128" s="21" t="s">
        <v>36</v>
      </c>
      <c r="Z128" s="24" t="s">
        <v>143</v>
      </c>
      <c r="AA128" s="20" t="s">
        <v>144</v>
      </c>
      <c r="AB128" s="24" t="s">
        <v>145</v>
      </c>
      <c r="AC128" s="24"/>
      <c r="AD128" s="25" t="s">
        <v>146</v>
      </c>
      <c r="AE128" s="61" t="s">
        <v>147</v>
      </c>
      <c r="AF128" s="27" t="s">
        <v>148</v>
      </c>
    </row>
    <row r="129" ht="15.75" customHeight="1">
      <c r="A129" s="52">
        <v>2022.0</v>
      </c>
      <c r="B129" s="10" t="s">
        <v>130</v>
      </c>
      <c r="C129" s="68">
        <v>8.0</v>
      </c>
      <c r="D129" s="204" t="s">
        <v>149</v>
      </c>
      <c r="E129" s="20" t="s">
        <v>920</v>
      </c>
      <c r="F129" s="32">
        <v>38687.0</v>
      </c>
      <c r="G129" s="68">
        <f t="shared" si="2"/>
        <v>17</v>
      </c>
      <c r="H129" s="20" t="s">
        <v>35</v>
      </c>
      <c r="I129" s="21" t="s">
        <v>36</v>
      </c>
      <c r="J129" s="20" t="s">
        <v>421</v>
      </c>
      <c r="K129" s="20" t="s">
        <v>422</v>
      </c>
      <c r="L129" s="20" t="s">
        <v>423</v>
      </c>
      <c r="M129" s="20"/>
      <c r="N129" s="20" t="s">
        <v>151</v>
      </c>
      <c r="O129" s="20" t="s">
        <v>952</v>
      </c>
      <c r="P129" s="20" t="s">
        <v>42</v>
      </c>
      <c r="Q129" s="35">
        <v>43626.0</v>
      </c>
      <c r="R129" s="23" t="s">
        <v>953</v>
      </c>
      <c r="S129" s="20" t="s">
        <v>954</v>
      </c>
      <c r="T129" s="205" t="s">
        <v>955</v>
      </c>
      <c r="U129" s="20" t="s">
        <v>251</v>
      </c>
      <c r="V129" s="24" t="s">
        <v>141</v>
      </c>
      <c r="W129" s="206" t="s">
        <v>158</v>
      </c>
      <c r="X129" s="20" t="s">
        <v>35</v>
      </c>
      <c r="Y129" s="21" t="s">
        <v>36</v>
      </c>
      <c r="Z129" s="24"/>
      <c r="AA129" s="207" t="s">
        <v>161</v>
      </c>
      <c r="AB129" s="20" t="s">
        <v>956</v>
      </c>
      <c r="AC129" s="24"/>
      <c r="AD129" s="208" t="s">
        <v>162</v>
      </c>
      <c r="AE129" s="58" t="s">
        <v>957</v>
      </c>
      <c r="AF129" s="19" t="s">
        <v>958</v>
      </c>
    </row>
    <row r="130" ht="15.75" customHeight="1">
      <c r="A130" s="52">
        <v>2022.0</v>
      </c>
      <c r="B130" s="10" t="s">
        <v>130</v>
      </c>
      <c r="C130" s="68">
        <v>9.0</v>
      </c>
      <c r="D130" s="54" t="s">
        <v>165</v>
      </c>
      <c r="E130" s="20" t="s">
        <v>179</v>
      </c>
      <c r="F130" s="32">
        <v>38850.0</v>
      </c>
      <c r="G130" s="68">
        <f t="shared" si="2"/>
        <v>16</v>
      </c>
      <c r="H130" s="20" t="s">
        <v>35</v>
      </c>
      <c r="I130" s="21" t="s">
        <v>36</v>
      </c>
      <c r="J130" s="20" t="s">
        <v>37</v>
      </c>
      <c r="K130" s="20" t="s">
        <v>38</v>
      </c>
      <c r="L130" s="20" t="s">
        <v>39</v>
      </c>
      <c r="M130" s="20" t="s">
        <v>134</v>
      </c>
      <c r="N130" s="20" t="s">
        <v>167</v>
      </c>
      <c r="O130" s="20">
        <v>1.683708E7</v>
      </c>
      <c r="P130" s="20" t="s">
        <v>42</v>
      </c>
      <c r="Q130" s="20" t="s">
        <v>168</v>
      </c>
      <c r="R130" s="23" t="s">
        <v>169</v>
      </c>
      <c r="S130" s="20" t="s">
        <v>170</v>
      </c>
      <c r="T130" s="23" t="s">
        <v>171</v>
      </c>
      <c r="U130" s="20" t="s">
        <v>172</v>
      </c>
      <c r="V130" s="24" t="s">
        <v>141</v>
      </c>
      <c r="W130" s="20" t="s">
        <v>173</v>
      </c>
      <c r="X130" s="20" t="s">
        <v>35</v>
      </c>
      <c r="Y130" s="21" t="s">
        <v>36</v>
      </c>
      <c r="Z130" s="24" t="s">
        <v>174</v>
      </c>
      <c r="AA130" s="20"/>
      <c r="AB130" s="24" t="s">
        <v>175</v>
      </c>
      <c r="AC130" s="24"/>
      <c r="AD130" s="17" t="s">
        <v>176</v>
      </c>
      <c r="AE130" s="58" t="s">
        <v>147</v>
      </c>
      <c r="AF130" s="19" t="s">
        <v>177</v>
      </c>
    </row>
    <row r="131" ht="42.75" customHeight="1">
      <c r="A131" s="52">
        <v>2022.0</v>
      </c>
      <c r="B131" s="10" t="s">
        <v>130</v>
      </c>
      <c r="C131" s="68">
        <v>9.0</v>
      </c>
      <c r="D131" s="54" t="s">
        <v>570</v>
      </c>
      <c r="E131" s="20" t="s">
        <v>179</v>
      </c>
      <c r="F131" s="32">
        <v>39280.0</v>
      </c>
      <c r="G131" s="68">
        <f t="shared" si="2"/>
        <v>15</v>
      </c>
      <c r="H131" s="20" t="s">
        <v>102</v>
      </c>
      <c r="I131" s="21" t="s">
        <v>36</v>
      </c>
      <c r="J131" s="20" t="s">
        <v>421</v>
      </c>
      <c r="K131" s="20" t="s">
        <v>572</v>
      </c>
      <c r="L131" s="20" t="s">
        <v>423</v>
      </c>
      <c r="M131" s="20"/>
      <c r="N131" s="20" t="s">
        <v>573</v>
      </c>
      <c r="O131" s="20" t="s">
        <v>574</v>
      </c>
      <c r="P131" s="20" t="s">
        <v>42</v>
      </c>
      <c r="Q131" s="20" t="s">
        <v>575</v>
      </c>
      <c r="R131" s="209" t="s">
        <v>576</v>
      </c>
      <c r="S131" s="20" t="s">
        <v>577</v>
      </c>
      <c r="T131" s="23" t="s">
        <v>578</v>
      </c>
      <c r="U131" s="23" t="s">
        <v>578</v>
      </c>
      <c r="V131" s="24" t="s">
        <v>141</v>
      </c>
      <c r="W131" s="20" t="s">
        <v>579</v>
      </c>
      <c r="X131" s="20" t="s">
        <v>35</v>
      </c>
      <c r="Y131" s="21" t="s">
        <v>36</v>
      </c>
      <c r="Z131" s="24" t="s">
        <v>580</v>
      </c>
      <c r="AA131" s="20" t="s">
        <v>581</v>
      </c>
      <c r="AB131" s="24"/>
      <c r="AC131" s="24"/>
      <c r="AD131" s="17" t="s">
        <v>582</v>
      </c>
      <c r="AE131" s="58" t="s">
        <v>583</v>
      </c>
      <c r="AF131" s="19" t="s">
        <v>584</v>
      </c>
    </row>
    <row r="132" ht="31.5" customHeight="1">
      <c r="A132" s="52">
        <v>2022.0</v>
      </c>
      <c r="B132" s="10" t="s">
        <v>130</v>
      </c>
      <c r="C132" s="68">
        <v>9.0</v>
      </c>
      <c r="D132" s="54" t="s">
        <v>585</v>
      </c>
      <c r="E132" s="20" t="s">
        <v>406</v>
      </c>
      <c r="F132" s="32">
        <v>39464.0</v>
      </c>
      <c r="G132" s="68">
        <f t="shared" si="2"/>
        <v>14</v>
      </c>
      <c r="H132" s="20" t="s">
        <v>35</v>
      </c>
      <c r="I132" s="21" t="s">
        <v>36</v>
      </c>
      <c r="J132" s="20" t="s">
        <v>37</v>
      </c>
      <c r="K132" s="20" t="s">
        <v>38</v>
      </c>
      <c r="L132" s="20" t="s">
        <v>39</v>
      </c>
      <c r="M132" s="20"/>
      <c r="N132" s="20" t="s">
        <v>587</v>
      </c>
      <c r="O132" s="20" t="s">
        <v>588</v>
      </c>
      <c r="P132" s="20" t="s">
        <v>42</v>
      </c>
      <c r="Q132" s="20" t="s">
        <v>93</v>
      </c>
      <c r="R132" s="23" t="s">
        <v>589</v>
      </c>
      <c r="S132" s="24" t="s">
        <v>590</v>
      </c>
      <c r="T132" s="23" t="s">
        <v>578</v>
      </c>
      <c r="U132" s="23" t="s">
        <v>578</v>
      </c>
      <c r="V132" s="24" t="s">
        <v>141</v>
      </c>
      <c r="W132" s="20" t="s">
        <v>579</v>
      </c>
      <c r="X132" s="20" t="s">
        <v>35</v>
      </c>
      <c r="Y132" s="21" t="s">
        <v>36</v>
      </c>
      <c r="Z132" s="24" t="s">
        <v>159</v>
      </c>
      <c r="AA132" s="20" t="s">
        <v>591</v>
      </c>
      <c r="AB132" s="24" t="s">
        <v>592</v>
      </c>
      <c r="AC132" s="24"/>
      <c r="AD132" s="17" t="s">
        <v>593</v>
      </c>
      <c r="AE132" s="58" t="s">
        <v>583</v>
      </c>
      <c r="AF132" s="19" t="s">
        <v>584</v>
      </c>
    </row>
    <row r="133" ht="15.75" customHeight="1">
      <c r="A133" s="52">
        <v>2022.0</v>
      </c>
      <c r="B133" s="10" t="s">
        <v>130</v>
      </c>
      <c r="C133" s="68">
        <v>8.0</v>
      </c>
      <c r="D133" s="54" t="s">
        <v>594</v>
      </c>
      <c r="E133" s="20" t="s">
        <v>635</v>
      </c>
      <c r="F133" s="32">
        <v>38920.0</v>
      </c>
      <c r="G133" s="68">
        <f t="shared" si="2"/>
        <v>16</v>
      </c>
      <c r="H133" s="20" t="s">
        <v>35</v>
      </c>
      <c r="I133" s="21" t="s">
        <v>36</v>
      </c>
      <c r="J133" s="20" t="s">
        <v>37</v>
      </c>
      <c r="K133" s="20" t="s">
        <v>38</v>
      </c>
      <c r="L133" s="20" t="s">
        <v>39</v>
      </c>
      <c r="M133" s="20" t="s">
        <v>206</v>
      </c>
      <c r="N133" s="20" t="s">
        <v>596</v>
      </c>
      <c r="O133" s="20">
        <v>2.175382583E9</v>
      </c>
      <c r="P133" s="20" t="s">
        <v>42</v>
      </c>
      <c r="Q133" s="20" t="s">
        <v>597</v>
      </c>
      <c r="R133" s="23" t="s">
        <v>598</v>
      </c>
      <c r="S133" s="20" t="s">
        <v>599</v>
      </c>
      <c r="T133" s="23" t="s">
        <v>600</v>
      </c>
      <c r="U133" s="20" t="s">
        <v>601</v>
      </c>
      <c r="V133" s="24" t="s">
        <v>141</v>
      </c>
      <c r="W133" s="20" t="s">
        <v>370</v>
      </c>
      <c r="X133" s="20" t="s">
        <v>35</v>
      </c>
      <c r="Y133" s="21" t="s">
        <v>36</v>
      </c>
      <c r="Z133" s="24" t="s">
        <v>602</v>
      </c>
      <c r="AA133" s="20" t="s">
        <v>603</v>
      </c>
      <c r="AB133" s="24">
        <v>7.198922229E9</v>
      </c>
      <c r="AC133" s="24"/>
      <c r="AD133" s="17" t="s">
        <v>604</v>
      </c>
      <c r="AE133" s="58" t="s">
        <v>71</v>
      </c>
      <c r="AF133" s="19" t="s">
        <v>605</v>
      </c>
    </row>
    <row r="134" ht="15.75" customHeight="1">
      <c r="A134" s="52">
        <v>2022.0</v>
      </c>
      <c r="B134" s="10" t="s">
        <v>130</v>
      </c>
      <c r="C134" s="68">
        <v>9.0</v>
      </c>
      <c r="D134" s="33" t="s">
        <v>606</v>
      </c>
      <c r="E134" s="20" t="s">
        <v>635</v>
      </c>
      <c r="F134" s="210">
        <v>38951.0</v>
      </c>
      <c r="G134" s="68">
        <f t="shared" si="2"/>
        <v>16</v>
      </c>
      <c r="H134" s="68" t="s">
        <v>35</v>
      </c>
      <c r="I134" s="132" t="s">
        <v>36</v>
      </c>
      <c r="J134" s="68" t="s">
        <v>37</v>
      </c>
      <c r="K134" s="68" t="s">
        <v>38</v>
      </c>
      <c r="L134" s="68" t="s">
        <v>39</v>
      </c>
      <c r="M134" s="68"/>
      <c r="N134" s="68" t="s">
        <v>607</v>
      </c>
      <c r="O134" s="68" t="s">
        <v>608</v>
      </c>
      <c r="P134" s="68" t="s">
        <v>42</v>
      </c>
      <c r="Q134" s="131">
        <v>43481.0</v>
      </c>
      <c r="R134" s="211" t="s">
        <v>959</v>
      </c>
      <c r="S134" s="68" t="s">
        <v>610</v>
      </c>
      <c r="T134" s="68" t="s">
        <v>611</v>
      </c>
      <c r="U134" s="68" t="s">
        <v>960</v>
      </c>
      <c r="V134" s="24" t="s">
        <v>141</v>
      </c>
      <c r="W134" s="68" t="s">
        <v>613</v>
      </c>
      <c r="X134" s="68" t="s">
        <v>35</v>
      </c>
      <c r="Y134" s="132" t="s">
        <v>36</v>
      </c>
      <c r="Z134" s="115"/>
      <c r="AA134" s="68" t="s">
        <v>615</v>
      </c>
      <c r="AB134" s="68" t="s">
        <v>961</v>
      </c>
      <c r="AC134" s="68"/>
      <c r="AD134" s="115" t="s">
        <v>617</v>
      </c>
      <c r="AE134" s="133">
        <v>565883.0</v>
      </c>
      <c r="AF134" s="68" t="s">
        <v>962</v>
      </c>
    </row>
    <row r="135" ht="15.75" customHeight="1">
      <c r="A135" s="52">
        <v>2022.0</v>
      </c>
      <c r="B135" s="10" t="s">
        <v>130</v>
      </c>
      <c r="C135" s="68">
        <v>9.0</v>
      </c>
      <c r="D135" s="54" t="s">
        <v>189</v>
      </c>
      <c r="E135" s="20" t="s">
        <v>405</v>
      </c>
      <c r="F135" s="32">
        <v>39583.0</v>
      </c>
      <c r="G135" s="68">
        <f t="shared" si="2"/>
        <v>14</v>
      </c>
      <c r="H135" s="20" t="s">
        <v>35</v>
      </c>
      <c r="I135" s="21" t="s">
        <v>36</v>
      </c>
      <c r="J135" s="20" t="s">
        <v>37</v>
      </c>
      <c r="K135" s="20" t="s">
        <v>38</v>
      </c>
      <c r="L135" s="20" t="s">
        <v>39</v>
      </c>
      <c r="M135" s="20" t="s">
        <v>76</v>
      </c>
      <c r="N135" s="20" t="s">
        <v>191</v>
      </c>
      <c r="O135" s="20" t="s">
        <v>192</v>
      </c>
      <c r="P135" s="20" t="s">
        <v>42</v>
      </c>
      <c r="Q135" s="20" t="s">
        <v>193</v>
      </c>
      <c r="R135" s="23" t="s">
        <v>194</v>
      </c>
      <c r="S135" s="20" t="s">
        <v>195</v>
      </c>
      <c r="T135" s="23" t="s">
        <v>196</v>
      </c>
      <c r="U135" s="20" t="s">
        <v>197</v>
      </c>
      <c r="V135" s="24" t="s">
        <v>141</v>
      </c>
      <c r="W135" s="20" t="s">
        <v>198</v>
      </c>
      <c r="X135" s="20" t="s">
        <v>35</v>
      </c>
      <c r="Y135" s="21" t="s">
        <v>36</v>
      </c>
      <c r="Z135" s="24" t="s">
        <v>199</v>
      </c>
      <c r="AA135" s="20"/>
      <c r="AB135" s="24" t="s">
        <v>200</v>
      </c>
      <c r="AC135" s="24"/>
      <c r="AD135" s="41" t="s">
        <v>201</v>
      </c>
      <c r="AE135" s="61" t="s">
        <v>147</v>
      </c>
      <c r="AF135" s="27" t="s">
        <v>202</v>
      </c>
    </row>
    <row r="136" ht="15.75" customHeight="1">
      <c r="A136" s="52">
        <v>2022.0</v>
      </c>
      <c r="B136" s="10" t="s">
        <v>130</v>
      </c>
      <c r="C136" s="68">
        <v>7.0</v>
      </c>
      <c r="D136" s="54" t="s">
        <v>619</v>
      </c>
      <c r="E136" s="20" t="s">
        <v>406</v>
      </c>
      <c r="F136" s="32">
        <v>39460.0</v>
      </c>
      <c r="G136" s="68">
        <f t="shared" si="2"/>
        <v>14</v>
      </c>
      <c r="H136" s="20" t="s">
        <v>35</v>
      </c>
      <c r="I136" s="21" t="s">
        <v>36</v>
      </c>
      <c r="J136" s="20" t="s">
        <v>37</v>
      </c>
      <c r="K136" s="20" t="s">
        <v>38</v>
      </c>
      <c r="L136" s="20" t="s">
        <v>39</v>
      </c>
      <c r="M136" s="20" t="s">
        <v>134</v>
      </c>
      <c r="N136" s="20" t="s">
        <v>621</v>
      </c>
      <c r="O136" s="20" t="s">
        <v>622</v>
      </c>
      <c r="P136" s="20" t="s">
        <v>42</v>
      </c>
      <c r="Q136" s="20" t="s">
        <v>623</v>
      </c>
      <c r="R136" s="23" t="s">
        <v>624</v>
      </c>
      <c r="S136" s="20" t="s">
        <v>625</v>
      </c>
      <c r="T136" s="30" t="s">
        <v>626</v>
      </c>
      <c r="U136" s="20" t="s">
        <v>627</v>
      </c>
      <c r="V136" s="24" t="s">
        <v>141</v>
      </c>
      <c r="W136" s="20" t="s">
        <v>628</v>
      </c>
      <c r="X136" s="20" t="s">
        <v>35</v>
      </c>
      <c r="Y136" s="21" t="s">
        <v>36</v>
      </c>
      <c r="Z136" s="24" t="s">
        <v>629</v>
      </c>
      <c r="AA136" s="20" t="s">
        <v>630</v>
      </c>
      <c r="AB136" s="24" t="s">
        <v>631</v>
      </c>
      <c r="AC136" s="24"/>
      <c r="AD136" s="67" t="s">
        <v>632</v>
      </c>
      <c r="AE136" s="58" t="s">
        <v>147</v>
      </c>
      <c r="AF136" s="19" t="s">
        <v>633</v>
      </c>
    </row>
    <row r="137" ht="15.75" customHeight="1">
      <c r="A137" s="52">
        <v>2022.0</v>
      </c>
      <c r="B137" s="10" t="s">
        <v>130</v>
      </c>
      <c r="C137" s="68">
        <v>8.0</v>
      </c>
      <c r="D137" s="64" t="s">
        <v>419</v>
      </c>
      <c r="E137" s="20" t="s">
        <v>635</v>
      </c>
      <c r="F137" s="32">
        <v>38836.0</v>
      </c>
      <c r="G137" s="68">
        <f t="shared" si="2"/>
        <v>16</v>
      </c>
      <c r="H137" s="20" t="s">
        <v>35</v>
      </c>
      <c r="I137" s="21" t="s">
        <v>36</v>
      </c>
      <c r="J137" s="20" t="s">
        <v>421</v>
      </c>
      <c r="K137" s="20" t="s">
        <v>422</v>
      </c>
      <c r="L137" s="20" t="s">
        <v>423</v>
      </c>
      <c r="M137" s="20"/>
      <c r="N137" s="20" t="s">
        <v>424</v>
      </c>
      <c r="O137" s="20" t="s">
        <v>425</v>
      </c>
      <c r="P137" s="20" t="s">
        <v>42</v>
      </c>
      <c r="Q137" s="20" t="s">
        <v>426</v>
      </c>
      <c r="R137" s="212" t="s">
        <v>427</v>
      </c>
      <c r="S137" s="20" t="s">
        <v>428</v>
      </c>
      <c r="T137" s="23" t="s">
        <v>429</v>
      </c>
      <c r="U137" s="20" t="s">
        <v>430</v>
      </c>
      <c r="V137" s="24" t="s">
        <v>431</v>
      </c>
      <c r="W137" s="20" t="s">
        <v>432</v>
      </c>
      <c r="X137" s="20" t="s">
        <v>35</v>
      </c>
      <c r="Y137" s="21" t="s">
        <v>36</v>
      </c>
      <c r="Z137" s="24" t="s">
        <v>433</v>
      </c>
      <c r="AA137" s="20" t="s">
        <v>434</v>
      </c>
      <c r="AB137" s="24" t="s">
        <v>435</v>
      </c>
      <c r="AC137" s="24"/>
      <c r="AD137" s="66" t="s">
        <v>436</v>
      </c>
      <c r="AE137" s="61" t="s">
        <v>437</v>
      </c>
      <c r="AF137" s="27" t="s">
        <v>438</v>
      </c>
    </row>
    <row r="138" ht="15.75" customHeight="1">
      <c r="A138" s="52">
        <v>2022.0</v>
      </c>
      <c r="B138" s="10" t="s">
        <v>130</v>
      </c>
      <c r="C138" s="68">
        <v>7.0</v>
      </c>
      <c r="D138" s="33" t="s">
        <v>634</v>
      </c>
      <c r="E138" s="20" t="s">
        <v>920</v>
      </c>
      <c r="F138" s="213">
        <v>38857.0</v>
      </c>
      <c r="G138" s="68">
        <f t="shared" si="2"/>
        <v>16</v>
      </c>
      <c r="H138" s="53" t="s">
        <v>50</v>
      </c>
      <c r="I138" s="214" t="s">
        <v>36</v>
      </c>
      <c r="J138" s="53" t="s">
        <v>37</v>
      </c>
      <c r="K138" s="53" t="s">
        <v>38</v>
      </c>
      <c r="L138" s="53" t="s">
        <v>39</v>
      </c>
      <c r="M138" s="53"/>
      <c r="N138" s="53" t="s">
        <v>636</v>
      </c>
      <c r="O138" s="53" t="s">
        <v>963</v>
      </c>
      <c r="P138" s="53" t="s">
        <v>42</v>
      </c>
      <c r="Q138" s="215">
        <v>43649.0</v>
      </c>
      <c r="R138" s="114" t="s">
        <v>964</v>
      </c>
      <c r="S138" s="53" t="s">
        <v>639</v>
      </c>
      <c r="T138" s="114" t="s">
        <v>600</v>
      </c>
      <c r="U138" s="114" t="s">
        <v>965</v>
      </c>
      <c r="V138" s="24" t="s">
        <v>141</v>
      </c>
      <c r="W138" s="53" t="s">
        <v>641</v>
      </c>
      <c r="X138" s="53" t="s">
        <v>35</v>
      </c>
      <c r="Y138" s="132" t="s">
        <v>36</v>
      </c>
      <c r="Z138" s="114" t="s">
        <v>642</v>
      </c>
      <c r="AA138" s="53" t="s">
        <v>643</v>
      </c>
      <c r="AB138" s="53" t="s">
        <v>644</v>
      </c>
      <c r="AC138" s="53"/>
      <c r="AD138" s="114" t="s">
        <v>966</v>
      </c>
      <c r="AE138" s="133">
        <v>41640.0</v>
      </c>
      <c r="AF138" s="68" t="s">
        <v>646</v>
      </c>
    </row>
    <row r="139" ht="15.75" customHeight="1">
      <c r="A139" s="52">
        <v>2022.0</v>
      </c>
      <c r="B139" s="10" t="s">
        <v>130</v>
      </c>
      <c r="C139" s="68">
        <v>9.0</v>
      </c>
      <c r="D139" s="54" t="s">
        <v>647</v>
      </c>
      <c r="E139" s="20" t="s">
        <v>405</v>
      </c>
      <c r="F139" s="32">
        <v>39119.0</v>
      </c>
      <c r="G139" s="68">
        <f t="shared" si="2"/>
        <v>15</v>
      </c>
      <c r="H139" s="20" t="s">
        <v>35</v>
      </c>
      <c r="I139" s="21" t="s">
        <v>36</v>
      </c>
      <c r="J139" s="20" t="s">
        <v>421</v>
      </c>
      <c r="K139" s="20" t="s">
        <v>422</v>
      </c>
      <c r="L139" s="20" t="s">
        <v>423</v>
      </c>
      <c r="M139" s="20" t="s">
        <v>134</v>
      </c>
      <c r="N139" s="20" t="s">
        <v>649</v>
      </c>
      <c r="O139" s="24" t="s">
        <v>650</v>
      </c>
      <c r="P139" s="20" t="s">
        <v>42</v>
      </c>
      <c r="Q139" s="32">
        <v>43794.0</v>
      </c>
      <c r="R139" s="23" t="s">
        <v>651</v>
      </c>
      <c r="S139" s="20" t="s">
        <v>652</v>
      </c>
      <c r="T139" s="23" t="s">
        <v>653</v>
      </c>
      <c r="U139" s="20" t="s">
        <v>654</v>
      </c>
      <c r="V139" s="24" t="s">
        <v>521</v>
      </c>
      <c r="W139" s="20" t="s">
        <v>655</v>
      </c>
      <c r="X139" s="20" t="s">
        <v>35</v>
      </c>
      <c r="Y139" s="21" t="s">
        <v>36</v>
      </c>
      <c r="Z139" s="24" t="s">
        <v>656</v>
      </c>
      <c r="AA139" s="20" t="s">
        <v>657</v>
      </c>
      <c r="AB139" s="24"/>
      <c r="AC139" s="24"/>
      <c r="AD139" s="17" t="s">
        <v>658</v>
      </c>
      <c r="AE139" s="58" t="s">
        <v>71</v>
      </c>
      <c r="AF139" s="19" t="s">
        <v>659</v>
      </c>
    </row>
    <row r="140" ht="15.75" customHeight="1">
      <c r="A140" s="52">
        <v>2022.0</v>
      </c>
      <c r="B140" s="10" t="s">
        <v>130</v>
      </c>
      <c r="C140" s="68">
        <v>7.0</v>
      </c>
      <c r="D140" s="54" t="s">
        <v>967</v>
      </c>
      <c r="E140" s="20" t="s">
        <v>100</v>
      </c>
      <c r="F140" s="32">
        <v>39947.0</v>
      </c>
      <c r="G140" s="68">
        <f t="shared" si="2"/>
        <v>13</v>
      </c>
      <c r="H140" s="20" t="s">
        <v>35</v>
      </c>
      <c r="I140" s="21" t="s">
        <v>36</v>
      </c>
      <c r="J140" s="20" t="s">
        <v>968</v>
      </c>
      <c r="K140" s="20" t="s">
        <v>38</v>
      </c>
      <c r="L140" s="20" t="s">
        <v>39</v>
      </c>
      <c r="M140" s="20" t="s">
        <v>458</v>
      </c>
      <c r="N140" s="20" t="s">
        <v>969</v>
      </c>
      <c r="O140" s="20" t="s">
        <v>970</v>
      </c>
      <c r="P140" s="20" t="s">
        <v>42</v>
      </c>
      <c r="Q140" s="32" t="s">
        <v>971</v>
      </c>
      <c r="R140" s="23" t="s">
        <v>972</v>
      </c>
      <c r="S140" s="20" t="s">
        <v>973</v>
      </c>
      <c r="T140" s="23" t="s">
        <v>974</v>
      </c>
      <c r="U140" s="20" t="s">
        <v>975</v>
      </c>
      <c r="V140" s="24" t="s">
        <v>141</v>
      </c>
      <c r="W140" s="20" t="s">
        <v>198</v>
      </c>
      <c r="X140" s="20" t="s">
        <v>35</v>
      </c>
      <c r="Y140" s="21" t="s">
        <v>36</v>
      </c>
      <c r="Z140" s="24" t="s">
        <v>682</v>
      </c>
      <c r="AA140" s="20" t="s">
        <v>976</v>
      </c>
      <c r="AB140" s="24" t="s">
        <v>977</v>
      </c>
      <c r="AC140" s="24"/>
      <c r="AD140" s="17" t="s">
        <v>978</v>
      </c>
      <c r="AE140" s="58" t="s">
        <v>147</v>
      </c>
      <c r="AF140" s="19" t="s">
        <v>979</v>
      </c>
    </row>
    <row r="141" ht="15.75" customHeight="1">
      <c r="A141" s="52">
        <v>2022.0</v>
      </c>
      <c r="B141" s="10" t="s">
        <v>130</v>
      </c>
      <c r="C141" s="68">
        <v>8.0</v>
      </c>
      <c r="D141" s="54" t="s">
        <v>220</v>
      </c>
      <c r="E141" s="20" t="s">
        <v>405</v>
      </c>
      <c r="F141" s="32">
        <v>39583.0</v>
      </c>
      <c r="G141" s="68">
        <f t="shared" si="2"/>
        <v>14</v>
      </c>
      <c r="H141" s="20" t="s">
        <v>35</v>
      </c>
      <c r="I141" s="21" t="s">
        <v>36</v>
      </c>
      <c r="J141" s="20" t="s">
        <v>37</v>
      </c>
      <c r="K141" s="20" t="s">
        <v>38</v>
      </c>
      <c r="L141" s="20" t="s">
        <v>39</v>
      </c>
      <c r="M141" s="20" t="s">
        <v>76</v>
      </c>
      <c r="N141" s="20" t="s">
        <v>221</v>
      </c>
      <c r="O141" s="20" t="s">
        <v>222</v>
      </c>
      <c r="P141" s="20" t="s">
        <v>42</v>
      </c>
      <c r="Q141" s="20" t="s">
        <v>193</v>
      </c>
      <c r="R141" s="23" t="s">
        <v>194</v>
      </c>
      <c r="S141" s="20" t="s">
        <v>195</v>
      </c>
      <c r="T141" s="23" t="s">
        <v>196</v>
      </c>
      <c r="U141" s="20" t="s">
        <v>197</v>
      </c>
      <c r="V141" s="24" t="s">
        <v>141</v>
      </c>
      <c r="W141" s="20" t="s">
        <v>198</v>
      </c>
      <c r="X141" s="20" t="s">
        <v>35</v>
      </c>
      <c r="Y141" s="21" t="s">
        <v>36</v>
      </c>
      <c r="Z141" s="24" t="s">
        <v>199</v>
      </c>
      <c r="AA141" s="20"/>
      <c r="AB141" s="24" t="s">
        <v>223</v>
      </c>
      <c r="AC141" s="24"/>
      <c r="AD141" s="44"/>
      <c r="AE141" s="61" t="s">
        <v>147</v>
      </c>
      <c r="AF141" s="27" t="s">
        <v>224</v>
      </c>
    </row>
    <row r="142" ht="45.0" customHeight="1">
      <c r="A142" s="52">
        <v>2022.0</v>
      </c>
      <c r="B142" s="10" t="s">
        <v>225</v>
      </c>
      <c r="C142" s="68">
        <v>7.0</v>
      </c>
      <c r="D142" s="54" t="s">
        <v>674</v>
      </c>
      <c r="E142" s="20" t="s">
        <v>406</v>
      </c>
      <c r="F142" s="32">
        <v>39189.0</v>
      </c>
      <c r="G142" s="68">
        <f t="shared" si="2"/>
        <v>15</v>
      </c>
      <c r="H142" s="20" t="s">
        <v>35</v>
      </c>
      <c r="I142" s="21" t="s">
        <v>36</v>
      </c>
      <c r="J142" s="20" t="s">
        <v>421</v>
      </c>
      <c r="K142" s="20" t="s">
        <v>422</v>
      </c>
      <c r="L142" s="20" t="s">
        <v>423</v>
      </c>
      <c r="M142" s="20" t="s">
        <v>76</v>
      </c>
      <c r="N142" s="20" t="s">
        <v>676</v>
      </c>
      <c r="O142" s="20">
        <v>2.140621557E9</v>
      </c>
      <c r="P142" s="20" t="s">
        <v>42</v>
      </c>
      <c r="Q142" s="32">
        <v>41685.0</v>
      </c>
      <c r="R142" s="23" t="s">
        <v>677</v>
      </c>
      <c r="S142" s="24" t="s">
        <v>676</v>
      </c>
      <c r="T142" s="23" t="s">
        <v>678</v>
      </c>
      <c r="U142" s="24" t="s">
        <v>679</v>
      </c>
      <c r="V142" s="24" t="s">
        <v>680</v>
      </c>
      <c r="W142" s="24" t="s">
        <v>681</v>
      </c>
      <c r="X142" s="24" t="s">
        <v>35</v>
      </c>
      <c r="Y142" s="50" t="s">
        <v>36</v>
      </c>
      <c r="Z142" s="24" t="s">
        <v>682</v>
      </c>
      <c r="AA142" s="24" t="s">
        <v>683</v>
      </c>
      <c r="AB142" s="24" t="s">
        <v>684</v>
      </c>
      <c r="AC142" s="24"/>
      <c r="AD142" s="25" t="s">
        <v>685</v>
      </c>
      <c r="AE142" s="61" t="s">
        <v>71</v>
      </c>
      <c r="AF142" s="27" t="s">
        <v>686</v>
      </c>
    </row>
    <row r="143" ht="15.75" customHeight="1">
      <c r="A143" s="52">
        <v>2022.0</v>
      </c>
      <c r="B143" s="10" t="s">
        <v>225</v>
      </c>
      <c r="C143" s="68">
        <v>4.0</v>
      </c>
      <c r="D143" s="54" t="s">
        <v>746</v>
      </c>
      <c r="E143" s="55" t="s">
        <v>33</v>
      </c>
      <c r="F143" s="32">
        <v>39898.0</v>
      </c>
      <c r="G143" s="68">
        <f t="shared" si="2"/>
        <v>13</v>
      </c>
      <c r="H143" s="20" t="s">
        <v>35</v>
      </c>
      <c r="I143" s="21" t="s">
        <v>36</v>
      </c>
      <c r="J143" s="20" t="s">
        <v>37</v>
      </c>
      <c r="K143" s="20" t="s">
        <v>38</v>
      </c>
      <c r="L143" s="20" t="s">
        <v>39</v>
      </c>
      <c r="M143" s="20" t="s">
        <v>76</v>
      </c>
      <c r="N143" s="20" t="s">
        <v>748</v>
      </c>
      <c r="O143" s="20" t="s">
        <v>749</v>
      </c>
      <c r="P143" s="20" t="s">
        <v>42</v>
      </c>
      <c r="Q143" s="20" t="s">
        <v>750</v>
      </c>
      <c r="R143" s="23" t="s">
        <v>751</v>
      </c>
      <c r="S143" s="20" t="s">
        <v>752</v>
      </c>
      <c r="T143" s="23" t="s">
        <v>753</v>
      </c>
      <c r="U143" s="20" t="s">
        <v>754</v>
      </c>
      <c r="V143" s="24" t="s">
        <v>755</v>
      </c>
      <c r="W143" s="20" t="s">
        <v>756</v>
      </c>
      <c r="X143" s="20" t="s">
        <v>35</v>
      </c>
      <c r="Y143" s="21" t="s">
        <v>36</v>
      </c>
      <c r="Z143" s="24" t="s">
        <v>757</v>
      </c>
      <c r="AA143" s="20" t="s">
        <v>758</v>
      </c>
      <c r="AB143" s="24"/>
      <c r="AC143" s="24"/>
      <c r="AD143" s="17" t="s">
        <v>759</v>
      </c>
      <c r="AE143" s="58" t="s">
        <v>320</v>
      </c>
      <c r="AF143" s="19" t="s">
        <v>760</v>
      </c>
    </row>
    <row r="144" ht="15.75" customHeight="1">
      <c r="A144" s="52">
        <v>2022.0</v>
      </c>
      <c r="B144" s="10" t="s">
        <v>225</v>
      </c>
      <c r="C144" s="68">
        <v>9.0</v>
      </c>
      <c r="D144" s="54" t="s">
        <v>687</v>
      </c>
      <c r="E144" s="20" t="s">
        <v>405</v>
      </c>
      <c r="F144" s="32">
        <v>39482.0</v>
      </c>
      <c r="G144" s="68">
        <f t="shared" si="2"/>
        <v>14</v>
      </c>
      <c r="H144" s="20" t="s">
        <v>35</v>
      </c>
      <c r="I144" s="21" t="s">
        <v>36</v>
      </c>
      <c r="J144" s="20" t="s">
        <v>37</v>
      </c>
      <c r="K144" s="20" t="s">
        <v>38</v>
      </c>
      <c r="L144" s="20" t="s">
        <v>39</v>
      </c>
      <c r="M144" s="20" t="s">
        <v>206</v>
      </c>
      <c r="N144" s="20" t="s">
        <v>689</v>
      </c>
      <c r="O144" s="20" t="s">
        <v>690</v>
      </c>
      <c r="P144" s="20" t="s">
        <v>42</v>
      </c>
      <c r="Q144" s="30" t="s">
        <v>691</v>
      </c>
      <c r="R144" s="23" t="s">
        <v>692</v>
      </c>
      <c r="S144" s="20" t="s">
        <v>693</v>
      </c>
      <c r="T144" s="23" t="s">
        <v>694</v>
      </c>
      <c r="U144" s="20" t="s">
        <v>695</v>
      </c>
      <c r="V144" s="24" t="s">
        <v>252</v>
      </c>
      <c r="W144" s="20" t="s">
        <v>696</v>
      </c>
      <c r="X144" s="20" t="s">
        <v>35</v>
      </c>
      <c r="Y144" s="21" t="s">
        <v>36</v>
      </c>
      <c r="Z144" s="24" t="s">
        <v>697</v>
      </c>
      <c r="AA144" s="20" t="s">
        <v>698</v>
      </c>
      <c r="AB144" s="24" t="s">
        <v>699</v>
      </c>
      <c r="AC144" s="24"/>
      <c r="AD144" s="17" t="s">
        <v>700</v>
      </c>
      <c r="AE144" s="58" t="s">
        <v>54</v>
      </c>
      <c r="AF144" s="19" t="s">
        <v>701</v>
      </c>
    </row>
    <row r="145" ht="15.75" customHeight="1">
      <c r="A145" s="52">
        <v>2022.0</v>
      </c>
      <c r="B145" s="10" t="s">
        <v>225</v>
      </c>
      <c r="C145" s="68">
        <v>7.0</v>
      </c>
      <c r="D145" s="54" t="s">
        <v>980</v>
      </c>
      <c r="E145" s="20" t="s">
        <v>406</v>
      </c>
      <c r="F145" s="32">
        <v>39713.0</v>
      </c>
      <c r="G145" s="68">
        <f t="shared" si="2"/>
        <v>14</v>
      </c>
      <c r="H145" s="20" t="s">
        <v>35</v>
      </c>
      <c r="I145" s="21" t="s">
        <v>36</v>
      </c>
      <c r="J145" s="20" t="s">
        <v>37</v>
      </c>
      <c r="K145" s="20" t="s">
        <v>38</v>
      </c>
      <c r="L145" s="20" t="s">
        <v>39</v>
      </c>
      <c r="M145" s="20" t="s">
        <v>76</v>
      </c>
      <c r="N145" s="20" t="s">
        <v>981</v>
      </c>
      <c r="O145" s="20" t="s">
        <v>982</v>
      </c>
      <c r="P145" s="20" t="s">
        <v>42</v>
      </c>
      <c r="Q145" s="20" t="s">
        <v>983</v>
      </c>
      <c r="R145" s="23" t="s">
        <v>984</v>
      </c>
      <c r="S145" s="20" t="s">
        <v>985</v>
      </c>
      <c r="T145" s="23" t="s">
        <v>234</v>
      </c>
      <c r="U145" s="20" t="s">
        <v>986</v>
      </c>
      <c r="V145" s="24" t="s">
        <v>252</v>
      </c>
      <c r="W145" s="20" t="s">
        <v>448</v>
      </c>
      <c r="X145" s="20" t="s">
        <v>35</v>
      </c>
      <c r="Y145" s="21" t="s">
        <v>36</v>
      </c>
      <c r="Z145" s="24" t="s">
        <v>987</v>
      </c>
      <c r="AA145" s="20" t="s">
        <v>988</v>
      </c>
      <c r="AB145" s="24"/>
      <c r="AC145" s="24"/>
      <c r="AD145" s="44"/>
      <c r="AE145" s="44"/>
      <c r="AF145" s="44"/>
    </row>
    <row r="146" ht="15.75" customHeight="1">
      <c r="A146" s="52">
        <v>2022.0</v>
      </c>
      <c r="B146" s="10" t="s">
        <v>225</v>
      </c>
      <c r="C146" s="68">
        <v>9.0</v>
      </c>
      <c r="D146" s="54" t="s">
        <v>258</v>
      </c>
      <c r="E146" s="55" t="s">
        <v>989</v>
      </c>
      <c r="F146" s="32">
        <v>39294.0</v>
      </c>
      <c r="G146" s="68">
        <f t="shared" si="2"/>
        <v>15</v>
      </c>
      <c r="H146" s="20" t="s">
        <v>35</v>
      </c>
      <c r="I146" s="21" t="s">
        <v>36</v>
      </c>
      <c r="J146" s="20" t="s">
        <v>37</v>
      </c>
      <c r="K146" s="20" t="s">
        <v>38</v>
      </c>
      <c r="L146" s="20" t="s">
        <v>39</v>
      </c>
      <c r="M146" s="20" t="s">
        <v>206</v>
      </c>
      <c r="N146" s="20" t="s">
        <v>260</v>
      </c>
      <c r="O146" s="20" t="s">
        <v>261</v>
      </c>
      <c r="P146" s="20" t="s">
        <v>42</v>
      </c>
      <c r="Q146" s="20" t="s">
        <v>262</v>
      </c>
      <c r="R146" s="23" t="s">
        <v>263</v>
      </c>
      <c r="S146" s="20" t="s">
        <v>63</v>
      </c>
      <c r="T146" s="23" t="s">
        <v>264</v>
      </c>
      <c r="U146" s="20" t="s">
        <v>213</v>
      </c>
      <c r="V146" s="24" t="s">
        <v>252</v>
      </c>
      <c r="W146" s="20" t="s">
        <v>265</v>
      </c>
      <c r="X146" s="20" t="s">
        <v>35</v>
      </c>
      <c r="Y146" s="21" t="s">
        <v>36</v>
      </c>
      <c r="Z146" s="24" t="s">
        <v>266</v>
      </c>
      <c r="AA146" s="20" t="s">
        <v>267</v>
      </c>
      <c r="AB146" s="24" t="s">
        <v>268</v>
      </c>
      <c r="AC146" s="24"/>
      <c r="AD146" s="25" t="s">
        <v>269</v>
      </c>
      <c r="AE146" s="61" t="s">
        <v>147</v>
      </c>
      <c r="AF146" s="27" t="s">
        <v>270</v>
      </c>
    </row>
    <row r="147" ht="15.75" customHeight="1">
      <c r="A147" s="52">
        <v>2022.0</v>
      </c>
      <c r="B147" s="10" t="s">
        <v>225</v>
      </c>
      <c r="C147" s="68">
        <v>7.0</v>
      </c>
      <c r="D147" s="158" t="s">
        <v>990</v>
      </c>
      <c r="E147" s="216" t="s">
        <v>406</v>
      </c>
      <c r="F147" s="32">
        <v>39875.0</v>
      </c>
      <c r="G147" s="68">
        <f t="shared" si="2"/>
        <v>13</v>
      </c>
      <c r="H147" s="20" t="s">
        <v>35</v>
      </c>
      <c r="I147" s="21" t="s">
        <v>36</v>
      </c>
      <c r="J147" s="20" t="s">
        <v>37</v>
      </c>
      <c r="K147" s="20" t="s">
        <v>38</v>
      </c>
      <c r="L147" s="21" t="s">
        <v>39</v>
      </c>
      <c r="M147" s="20" t="s">
        <v>134</v>
      </c>
      <c r="N147" s="20" t="s">
        <v>991</v>
      </c>
      <c r="O147" s="20" t="s">
        <v>992</v>
      </c>
      <c r="P147" s="20" t="s">
        <v>42</v>
      </c>
      <c r="Q147" s="20" t="s">
        <v>993</v>
      </c>
      <c r="R147" s="30" t="s">
        <v>994</v>
      </c>
      <c r="S147" s="30" t="s">
        <v>995</v>
      </c>
      <c r="T147" s="23" t="s">
        <v>996</v>
      </c>
      <c r="U147" s="20" t="s">
        <v>997</v>
      </c>
      <c r="V147" s="24" t="s">
        <v>252</v>
      </c>
      <c r="W147" s="20" t="s">
        <v>998</v>
      </c>
      <c r="X147" s="20" t="s">
        <v>35</v>
      </c>
      <c r="Y147" s="21" t="s">
        <v>36</v>
      </c>
      <c r="Z147" s="24" t="s">
        <v>731</v>
      </c>
      <c r="AA147" s="20" t="s">
        <v>999</v>
      </c>
      <c r="AB147" s="24" t="s">
        <v>1000</v>
      </c>
      <c r="AC147" s="30"/>
      <c r="AD147" s="217" t="s">
        <v>1001</v>
      </c>
      <c r="AE147" s="61" t="s">
        <v>147</v>
      </c>
      <c r="AF147" s="27" t="s">
        <v>1002</v>
      </c>
    </row>
    <row r="148" ht="15.75" customHeight="1">
      <c r="A148" s="52">
        <v>2022.0</v>
      </c>
      <c r="B148" s="10" t="s">
        <v>271</v>
      </c>
      <c r="C148" s="68">
        <v>2.0</v>
      </c>
      <c r="D148" s="54" t="s">
        <v>1003</v>
      </c>
      <c r="E148" s="55" t="s">
        <v>132</v>
      </c>
      <c r="F148" s="32">
        <v>40057.0</v>
      </c>
      <c r="G148" s="68">
        <f t="shared" si="2"/>
        <v>13</v>
      </c>
      <c r="H148" s="20" t="s">
        <v>35</v>
      </c>
      <c r="I148" s="21" t="s">
        <v>36</v>
      </c>
      <c r="J148" s="20" t="s">
        <v>37</v>
      </c>
      <c r="K148" s="20" t="s">
        <v>38</v>
      </c>
      <c r="L148" s="20" t="s">
        <v>39</v>
      </c>
      <c r="M148" s="20"/>
      <c r="N148" s="20" t="s">
        <v>1004</v>
      </c>
      <c r="O148" s="20" t="s">
        <v>1005</v>
      </c>
      <c r="P148" s="20" t="s">
        <v>42</v>
      </c>
      <c r="Q148" s="20" t="s">
        <v>1006</v>
      </c>
      <c r="R148" s="23" t="s">
        <v>1007</v>
      </c>
      <c r="S148" s="20" t="s">
        <v>1008</v>
      </c>
      <c r="T148" s="30" t="s">
        <v>1009</v>
      </c>
      <c r="U148" s="20" t="s">
        <v>1010</v>
      </c>
      <c r="V148" s="23" t="s">
        <v>141</v>
      </c>
      <c r="W148" s="20" t="s">
        <v>1011</v>
      </c>
      <c r="X148" s="20" t="s">
        <v>35</v>
      </c>
      <c r="Y148" s="21" t="s">
        <v>36</v>
      </c>
      <c r="Z148" s="24" t="s">
        <v>1012</v>
      </c>
      <c r="AA148" s="20" t="s">
        <v>1013</v>
      </c>
      <c r="AB148" s="24" t="s">
        <v>1014</v>
      </c>
      <c r="AC148" s="24"/>
      <c r="AD148" s="44"/>
      <c r="AE148" s="61" t="s">
        <v>147</v>
      </c>
      <c r="AF148" s="27" t="s">
        <v>1015</v>
      </c>
    </row>
    <row r="149" ht="15.75" customHeight="1">
      <c r="A149" s="52">
        <v>2022.0</v>
      </c>
      <c r="B149" s="10" t="s">
        <v>271</v>
      </c>
      <c r="C149" s="68">
        <v>7.0</v>
      </c>
      <c r="D149" s="54" t="s">
        <v>274</v>
      </c>
      <c r="E149" s="20" t="s">
        <v>635</v>
      </c>
      <c r="F149" s="32">
        <v>38985.0</v>
      </c>
      <c r="G149" s="68">
        <f t="shared" si="2"/>
        <v>16</v>
      </c>
      <c r="H149" s="20" t="s">
        <v>35</v>
      </c>
      <c r="I149" s="21" t="s">
        <v>36</v>
      </c>
      <c r="J149" s="20" t="s">
        <v>37</v>
      </c>
      <c r="K149" s="20" t="s">
        <v>38</v>
      </c>
      <c r="L149" s="20" t="s">
        <v>39</v>
      </c>
      <c r="M149" s="20" t="s">
        <v>134</v>
      </c>
      <c r="N149" s="20" t="s">
        <v>276</v>
      </c>
      <c r="O149" s="20">
        <v>1.662362765E9</v>
      </c>
      <c r="P149" s="20" t="s">
        <v>42</v>
      </c>
      <c r="Q149" s="20" t="s">
        <v>277</v>
      </c>
      <c r="R149" s="23" t="s">
        <v>278</v>
      </c>
      <c r="S149" s="20" t="s">
        <v>279</v>
      </c>
      <c r="T149" s="23" t="s">
        <v>280</v>
      </c>
      <c r="U149" s="20" t="s">
        <v>281</v>
      </c>
      <c r="V149" s="24" t="s">
        <v>282</v>
      </c>
      <c r="W149" s="20" t="s">
        <v>283</v>
      </c>
      <c r="X149" s="20" t="s">
        <v>35</v>
      </c>
      <c r="Y149" s="21" t="s">
        <v>36</v>
      </c>
      <c r="Z149" s="24" t="s">
        <v>284</v>
      </c>
      <c r="AA149" s="20" t="s">
        <v>285</v>
      </c>
      <c r="AB149" s="24" t="s">
        <v>286</v>
      </c>
      <c r="AC149" s="24"/>
      <c r="AD149" s="25" t="s">
        <v>287</v>
      </c>
      <c r="AE149" s="61" t="s">
        <v>218</v>
      </c>
      <c r="AF149" s="27" t="s">
        <v>288</v>
      </c>
    </row>
    <row r="150" ht="15.75" customHeight="1">
      <c r="A150" s="52">
        <v>2022.0</v>
      </c>
      <c r="B150" s="10" t="s">
        <v>271</v>
      </c>
      <c r="C150" s="68">
        <v>8.0</v>
      </c>
      <c r="D150" s="54" t="s">
        <v>289</v>
      </c>
      <c r="E150" s="20" t="s">
        <v>635</v>
      </c>
      <c r="F150" s="32">
        <v>38871.0</v>
      </c>
      <c r="G150" s="68">
        <f t="shared" si="2"/>
        <v>16</v>
      </c>
      <c r="H150" s="20" t="s">
        <v>35</v>
      </c>
      <c r="I150" s="21" t="s">
        <v>36</v>
      </c>
      <c r="J150" s="20" t="s">
        <v>37</v>
      </c>
      <c r="K150" s="20" t="s">
        <v>38</v>
      </c>
      <c r="L150" s="20" t="s">
        <v>39</v>
      </c>
      <c r="M150" s="20"/>
      <c r="N150" s="20" t="s">
        <v>291</v>
      </c>
      <c r="O150" s="20">
        <v>2.174513811E9</v>
      </c>
      <c r="P150" s="20" t="s">
        <v>42</v>
      </c>
      <c r="Q150" s="20" t="s">
        <v>292</v>
      </c>
      <c r="R150" s="23" t="s">
        <v>293</v>
      </c>
      <c r="S150" s="20" t="s">
        <v>294</v>
      </c>
      <c r="T150" s="23" t="s">
        <v>295</v>
      </c>
      <c r="U150" s="20" t="s">
        <v>296</v>
      </c>
      <c r="V150" s="24" t="s">
        <v>252</v>
      </c>
      <c r="W150" s="20" t="s">
        <v>297</v>
      </c>
      <c r="X150" s="20" t="s">
        <v>35</v>
      </c>
      <c r="Y150" s="21" t="s">
        <v>36</v>
      </c>
      <c r="Z150" s="24" t="s">
        <v>298</v>
      </c>
      <c r="AA150" s="20" t="s">
        <v>299</v>
      </c>
      <c r="AB150" s="24" t="s">
        <v>300</v>
      </c>
      <c r="AC150" s="24"/>
      <c r="AD150" s="17" t="s">
        <v>301</v>
      </c>
      <c r="AE150" s="58" t="s">
        <v>302</v>
      </c>
      <c r="AF150" s="19" t="s">
        <v>303</v>
      </c>
    </row>
    <row r="151" ht="15.75" customHeight="1">
      <c r="A151" s="52">
        <v>2022.0</v>
      </c>
      <c r="B151" s="10" t="s">
        <v>271</v>
      </c>
      <c r="C151" s="68">
        <v>4.0</v>
      </c>
      <c r="D151" s="62" t="s">
        <v>761</v>
      </c>
      <c r="E151" s="20" t="s">
        <v>406</v>
      </c>
      <c r="F151" s="32">
        <v>39419.0</v>
      </c>
      <c r="G151" s="68">
        <f t="shared" si="2"/>
        <v>15</v>
      </c>
      <c r="H151" s="20" t="s">
        <v>472</v>
      </c>
      <c r="I151" s="21" t="s">
        <v>36</v>
      </c>
      <c r="J151" s="20" t="s">
        <v>37</v>
      </c>
      <c r="K151" s="20" t="s">
        <v>38</v>
      </c>
      <c r="L151" s="20" t="s">
        <v>39</v>
      </c>
      <c r="M151" s="20" t="s">
        <v>134</v>
      </c>
      <c r="N151" s="20" t="s">
        <v>763</v>
      </c>
      <c r="O151" s="20" t="s">
        <v>764</v>
      </c>
      <c r="P151" s="20" t="s">
        <v>42</v>
      </c>
      <c r="Q151" s="20" t="s">
        <v>765</v>
      </c>
      <c r="R151" s="23" t="s">
        <v>766</v>
      </c>
      <c r="S151" s="20" t="s">
        <v>767</v>
      </c>
      <c r="T151" s="23" t="s">
        <v>768</v>
      </c>
      <c r="U151" s="24" t="s">
        <v>769</v>
      </c>
      <c r="V151" s="24" t="s">
        <v>770</v>
      </c>
      <c r="W151" s="20" t="s">
        <v>771</v>
      </c>
      <c r="X151" s="20" t="s">
        <v>35</v>
      </c>
      <c r="Y151" s="21" t="s">
        <v>36</v>
      </c>
      <c r="Z151" s="24" t="s">
        <v>772</v>
      </c>
      <c r="AA151" s="20" t="s">
        <v>773</v>
      </c>
      <c r="AB151" s="24" t="s">
        <v>773</v>
      </c>
      <c r="AC151" s="24"/>
      <c r="AD151" s="17" t="s">
        <v>774</v>
      </c>
      <c r="AE151" s="58" t="s">
        <v>71</v>
      </c>
      <c r="AF151" s="19" t="s">
        <v>775</v>
      </c>
    </row>
    <row r="152" ht="15.75" customHeight="1">
      <c r="A152" s="52">
        <v>2022.0</v>
      </c>
      <c r="B152" s="10" t="s">
        <v>271</v>
      </c>
      <c r="C152" s="68">
        <v>9.0</v>
      </c>
      <c r="D152" s="54" t="s">
        <v>306</v>
      </c>
      <c r="E152" s="20" t="s">
        <v>635</v>
      </c>
      <c r="F152" s="32">
        <v>39090.0</v>
      </c>
      <c r="G152" s="68">
        <f t="shared" si="2"/>
        <v>15</v>
      </c>
      <c r="H152" s="20" t="s">
        <v>35</v>
      </c>
      <c r="I152" s="21" t="s">
        <v>36</v>
      </c>
      <c r="J152" s="20" t="s">
        <v>37</v>
      </c>
      <c r="K152" s="20" t="s">
        <v>38</v>
      </c>
      <c r="L152" s="20" t="s">
        <v>39</v>
      </c>
      <c r="M152" s="20"/>
      <c r="N152" s="20" t="s">
        <v>308</v>
      </c>
      <c r="O152" s="20" t="s">
        <v>309</v>
      </c>
      <c r="P152" s="20" t="s">
        <v>42</v>
      </c>
      <c r="Q152" s="20" t="s">
        <v>310</v>
      </c>
      <c r="R152" s="23" t="s">
        <v>311</v>
      </c>
      <c r="S152" s="20" t="s">
        <v>312</v>
      </c>
      <c r="T152" s="23" t="s">
        <v>313</v>
      </c>
      <c r="U152" s="24" t="s">
        <v>314</v>
      </c>
      <c r="V152" s="24" t="s">
        <v>315</v>
      </c>
      <c r="W152" s="20" t="s">
        <v>316</v>
      </c>
      <c r="X152" s="20" t="s">
        <v>35</v>
      </c>
      <c r="Y152" s="21" t="s">
        <v>36</v>
      </c>
      <c r="Z152" s="24" t="s">
        <v>317</v>
      </c>
      <c r="AA152" s="20"/>
      <c r="AB152" s="24" t="s">
        <v>318</v>
      </c>
      <c r="AC152" s="24"/>
      <c r="AD152" s="25" t="s">
        <v>319</v>
      </c>
      <c r="AE152" s="61" t="s">
        <v>320</v>
      </c>
      <c r="AF152" s="27" t="s">
        <v>321</v>
      </c>
    </row>
    <row r="153" ht="15.75" customHeight="1">
      <c r="A153" s="52">
        <v>2022.0</v>
      </c>
      <c r="B153" s="10" t="s">
        <v>271</v>
      </c>
      <c r="C153" s="68">
        <v>2.0</v>
      </c>
      <c r="D153" s="54" t="s">
        <v>1016</v>
      </c>
      <c r="E153" s="20" t="s">
        <v>33</v>
      </c>
      <c r="F153" s="32">
        <v>39616.0</v>
      </c>
      <c r="G153" s="68">
        <f t="shared" si="2"/>
        <v>14</v>
      </c>
      <c r="H153" s="20" t="s">
        <v>35</v>
      </c>
      <c r="I153" s="21" t="s">
        <v>36</v>
      </c>
      <c r="J153" s="20" t="s">
        <v>37</v>
      </c>
      <c r="K153" s="20" t="s">
        <v>38</v>
      </c>
      <c r="L153" s="20" t="s">
        <v>39</v>
      </c>
      <c r="M153" s="20"/>
      <c r="N153" s="20" t="s">
        <v>1017</v>
      </c>
      <c r="O153" s="20" t="s">
        <v>1018</v>
      </c>
      <c r="P153" s="20" t="s">
        <v>42</v>
      </c>
      <c r="Q153" s="20" t="s">
        <v>1019</v>
      </c>
      <c r="R153" s="23" t="s">
        <v>1020</v>
      </c>
      <c r="S153" s="20" t="s">
        <v>1021</v>
      </c>
      <c r="T153" s="23" t="s">
        <v>1022</v>
      </c>
      <c r="U153" s="20" t="s">
        <v>1023</v>
      </c>
      <c r="V153" s="24" t="s">
        <v>1024</v>
      </c>
      <c r="W153" s="20" t="s">
        <v>1025</v>
      </c>
      <c r="X153" s="20" t="s">
        <v>35</v>
      </c>
      <c r="Y153" s="21" t="s">
        <v>36</v>
      </c>
      <c r="Z153" s="24" t="s">
        <v>174</v>
      </c>
      <c r="AA153" s="20" t="s">
        <v>1026</v>
      </c>
      <c r="AB153" s="24" t="s">
        <v>1027</v>
      </c>
      <c r="AC153" s="24"/>
      <c r="AD153" s="17" t="s">
        <v>1028</v>
      </c>
      <c r="AE153" s="58" t="s">
        <v>1029</v>
      </c>
      <c r="AF153" s="19" t="s">
        <v>1030</v>
      </c>
    </row>
    <row r="154" ht="15.75" customHeight="1">
      <c r="A154" s="52">
        <v>2022.0</v>
      </c>
      <c r="B154" s="10" t="s">
        <v>271</v>
      </c>
      <c r="C154" s="68">
        <v>7.0</v>
      </c>
      <c r="D154" s="54" t="s">
        <v>1031</v>
      </c>
      <c r="E154" s="20" t="s">
        <v>100</v>
      </c>
      <c r="F154" s="32">
        <v>39967.0</v>
      </c>
      <c r="G154" s="68">
        <f t="shared" si="2"/>
        <v>13</v>
      </c>
      <c r="H154" s="20" t="s">
        <v>35</v>
      </c>
      <c r="I154" s="21" t="s">
        <v>36</v>
      </c>
      <c r="J154" s="20" t="s">
        <v>421</v>
      </c>
      <c r="K154" s="20" t="s">
        <v>572</v>
      </c>
      <c r="L154" s="20" t="s">
        <v>423</v>
      </c>
      <c r="M154" s="20" t="s">
        <v>134</v>
      </c>
      <c r="N154" s="20" t="s">
        <v>1032</v>
      </c>
      <c r="O154" s="20" t="s">
        <v>1033</v>
      </c>
      <c r="P154" s="20" t="s">
        <v>42</v>
      </c>
      <c r="Q154" s="20" t="s">
        <v>1034</v>
      </c>
      <c r="R154" s="23" t="s">
        <v>1035</v>
      </c>
      <c r="S154" s="20" t="s">
        <v>1036</v>
      </c>
      <c r="T154" s="23" t="s">
        <v>1037</v>
      </c>
      <c r="U154" s="24" t="s">
        <v>1038</v>
      </c>
      <c r="V154" s="24" t="s">
        <v>1039</v>
      </c>
      <c r="W154" s="20" t="s">
        <v>1040</v>
      </c>
      <c r="X154" s="20" t="s">
        <v>35</v>
      </c>
      <c r="Y154" s="21" t="s">
        <v>36</v>
      </c>
      <c r="Z154" s="24" t="s">
        <v>1041</v>
      </c>
      <c r="AA154" s="20" t="s">
        <v>1042</v>
      </c>
      <c r="AB154" s="24"/>
      <c r="AC154" s="24"/>
      <c r="AD154" s="25" t="s">
        <v>1043</v>
      </c>
      <c r="AE154" s="61" t="s">
        <v>302</v>
      </c>
      <c r="AF154" s="27" t="s">
        <v>1044</v>
      </c>
    </row>
    <row r="155" ht="45.0" customHeight="1">
      <c r="A155" s="52">
        <v>2022.0</v>
      </c>
      <c r="B155" s="10" t="s">
        <v>340</v>
      </c>
      <c r="C155" s="68">
        <v>8.0</v>
      </c>
      <c r="D155" s="57" t="s">
        <v>776</v>
      </c>
      <c r="E155" s="55" t="s">
        <v>33</v>
      </c>
      <c r="F155" s="203">
        <v>39681.0</v>
      </c>
      <c r="G155" s="68">
        <f t="shared" si="2"/>
        <v>14</v>
      </c>
      <c r="H155" s="24" t="s">
        <v>35</v>
      </c>
      <c r="I155" s="50" t="s">
        <v>36</v>
      </c>
      <c r="J155" s="20" t="s">
        <v>421</v>
      </c>
      <c r="K155" s="20" t="s">
        <v>422</v>
      </c>
      <c r="L155" s="20" t="s">
        <v>423</v>
      </c>
      <c r="M155" s="24" t="s">
        <v>206</v>
      </c>
      <c r="N155" s="24" t="s">
        <v>778</v>
      </c>
      <c r="O155" s="24" t="s">
        <v>779</v>
      </c>
      <c r="P155" s="24" t="s">
        <v>42</v>
      </c>
      <c r="Q155" s="24" t="s">
        <v>780</v>
      </c>
      <c r="R155" s="23" t="s">
        <v>783</v>
      </c>
      <c r="S155" s="20" t="s">
        <v>782</v>
      </c>
      <c r="T155" s="23" t="s">
        <v>783</v>
      </c>
      <c r="U155" s="24" t="s">
        <v>784</v>
      </c>
      <c r="V155" s="24" t="s">
        <v>141</v>
      </c>
      <c r="W155" s="23" t="s">
        <v>785</v>
      </c>
      <c r="X155" s="24" t="s">
        <v>35</v>
      </c>
      <c r="Y155" s="50" t="s">
        <v>36</v>
      </c>
      <c r="Z155" s="24" t="s">
        <v>786</v>
      </c>
      <c r="AA155" s="24" t="s">
        <v>787</v>
      </c>
      <c r="AB155" s="24">
        <v>71.0</v>
      </c>
      <c r="AC155" s="30"/>
      <c r="AD155" s="218"/>
      <c r="AE155" s="58" t="s">
        <v>527</v>
      </c>
      <c r="AF155" s="19" t="s">
        <v>788</v>
      </c>
    </row>
    <row r="156" ht="36.75" customHeight="1">
      <c r="A156" s="52">
        <v>2022.0</v>
      </c>
      <c r="B156" s="10" t="s">
        <v>340</v>
      </c>
      <c r="C156" s="68">
        <v>4.0</v>
      </c>
      <c r="D156" s="54" t="s">
        <v>810</v>
      </c>
      <c r="E156" s="20" t="s">
        <v>406</v>
      </c>
      <c r="F156" s="32">
        <v>39719.0</v>
      </c>
      <c r="G156" s="68">
        <f t="shared" si="2"/>
        <v>14</v>
      </c>
      <c r="H156" s="20" t="s">
        <v>35</v>
      </c>
      <c r="I156" s="50" t="s">
        <v>36</v>
      </c>
      <c r="J156" s="20" t="s">
        <v>421</v>
      </c>
      <c r="K156" s="20" t="s">
        <v>572</v>
      </c>
      <c r="L156" s="20" t="s">
        <v>423</v>
      </c>
      <c r="M156" s="20"/>
      <c r="N156" s="20" t="s">
        <v>812</v>
      </c>
      <c r="O156" s="20" t="s">
        <v>813</v>
      </c>
      <c r="P156" s="20" t="s">
        <v>42</v>
      </c>
      <c r="Q156" s="20" t="s">
        <v>814</v>
      </c>
      <c r="R156" s="23" t="s">
        <v>815</v>
      </c>
      <c r="S156" s="20" t="s">
        <v>816</v>
      </c>
      <c r="T156" s="23" t="s">
        <v>413</v>
      </c>
      <c r="U156" s="20" t="s">
        <v>1045</v>
      </c>
      <c r="V156" s="24" t="s">
        <v>680</v>
      </c>
      <c r="W156" s="20" t="s">
        <v>818</v>
      </c>
      <c r="X156" s="20" t="s">
        <v>50</v>
      </c>
      <c r="Y156" s="21" t="s">
        <v>36</v>
      </c>
      <c r="Z156" s="24" t="s">
        <v>819</v>
      </c>
      <c r="AA156" s="20" t="s">
        <v>820</v>
      </c>
      <c r="AB156" s="24" t="s">
        <v>821</v>
      </c>
      <c r="AC156" s="24"/>
      <c r="AD156" s="17" t="s">
        <v>822</v>
      </c>
      <c r="AE156" s="58" t="s">
        <v>147</v>
      </c>
      <c r="AF156" s="19" t="s">
        <v>823</v>
      </c>
    </row>
    <row r="157" ht="15.75" customHeight="1">
      <c r="A157" s="52">
        <v>2022.0</v>
      </c>
      <c r="B157" s="10" t="s">
        <v>340</v>
      </c>
      <c r="C157" s="68">
        <v>8.0</v>
      </c>
      <c r="D157" s="12" t="s">
        <v>1046</v>
      </c>
      <c r="E157" s="20" t="s">
        <v>405</v>
      </c>
      <c r="F157" s="203">
        <v>39550.0</v>
      </c>
      <c r="G157" s="68">
        <f t="shared" si="2"/>
        <v>14</v>
      </c>
      <c r="H157" s="24" t="s">
        <v>1047</v>
      </c>
      <c r="I157" s="24" t="s">
        <v>1048</v>
      </c>
      <c r="J157" s="20" t="s">
        <v>37</v>
      </c>
      <c r="K157" s="20" t="s">
        <v>1049</v>
      </c>
      <c r="L157" s="21" t="s">
        <v>39</v>
      </c>
      <c r="M157" s="20"/>
      <c r="N157" s="20" t="s">
        <v>1050</v>
      </c>
      <c r="O157" s="20">
        <v>3949812.0</v>
      </c>
      <c r="P157" s="20" t="s">
        <v>364</v>
      </c>
      <c r="Q157" s="20" t="s">
        <v>365</v>
      </c>
      <c r="R157" s="23" t="s">
        <v>366</v>
      </c>
      <c r="S157" s="20" t="s">
        <v>367</v>
      </c>
      <c r="T157" s="23" t="s">
        <v>212</v>
      </c>
      <c r="U157" s="20" t="s">
        <v>1051</v>
      </c>
      <c r="V157" s="24" t="s">
        <v>369</v>
      </c>
      <c r="W157" s="20" t="s">
        <v>370</v>
      </c>
      <c r="X157" s="20" t="s">
        <v>50</v>
      </c>
      <c r="Y157" s="21" t="s">
        <v>36</v>
      </c>
      <c r="Z157" s="24" t="s">
        <v>371</v>
      </c>
      <c r="AA157" s="20" t="s">
        <v>1052</v>
      </c>
      <c r="AB157" s="24" t="s">
        <v>1053</v>
      </c>
      <c r="AC157" s="30"/>
      <c r="AD157" s="219" t="s">
        <v>1054</v>
      </c>
      <c r="AE157" s="218"/>
      <c r="AF157" s="218"/>
    </row>
    <row r="158" ht="15.75" customHeight="1">
      <c r="A158" s="52">
        <v>2022.0</v>
      </c>
      <c r="B158" s="10" t="s">
        <v>340</v>
      </c>
      <c r="C158" s="68">
        <v>9.0</v>
      </c>
      <c r="D158" s="54" t="s">
        <v>837</v>
      </c>
      <c r="E158" s="55" t="s">
        <v>33</v>
      </c>
      <c r="F158" s="32">
        <v>39781.0</v>
      </c>
      <c r="G158" s="68">
        <f t="shared" si="2"/>
        <v>14</v>
      </c>
      <c r="H158" s="20" t="s">
        <v>35</v>
      </c>
      <c r="I158" s="21" t="s">
        <v>36</v>
      </c>
      <c r="J158" s="20" t="s">
        <v>37</v>
      </c>
      <c r="K158" s="20" t="s">
        <v>38</v>
      </c>
      <c r="L158" s="20" t="s">
        <v>39</v>
      </c>
      <c r="M158" s="24" t="s">
        <v>76</v>
      </c>
      <c r="N158" s="20" t="s">
        <v>839</v>
      </c>
      <c r="O158" s="20" t="s">
        <v>840</v>
      </c>
      <c r="P158" s="20" t="s">
        <v>42</v>
      </c>
      <c r="Q158" s="20" t="s">
        <v>841</v>
      </c>
      <c r="R158" s="23" t="s">
        <v>842</v>
      </c>
      <c r="S158" s="20" t="s">
        <v>843</v>
      </c>
      <c r="T158" s="23" t="s">
        <v>844</v>
      </c>
      <c r="U158" s="20" t="s">
        <v>845</v>
      </c>
      <c r="V158" s="24" t="s">
        <v>141</v>
      </c>
      <c r="W158" s="20" t="s">
        <v>846</v>
      </c>
      <c r="X158" s="20" t="s">
        <v>35</v>
      </c>
      <c r="Y158" s="21" t="s">
        <v>36</v>
      </c>
      <c r="Z158" s="24" t="s">
        <v>847</v>
      </c>
      <c r="AA158" s="20" t="s">
        <v>848</v>
      </c>
      <c r="AB158" s="24" t="s">
        <v>849</v>
      </c>
      <c r="AC158" s="30"/>
      <c r="AD158" s="67" t="s">
        <v>850</v>
      </c>
      <c r="AE158" s="58" t="s">
        <v>147</v>
      </c>
      <c r="AF158" s="19" t="s">
        <v>851</v>
      </c>
    </row>
    <row r="159" ht="15.75" customHeight="1">
      <c r="A159" s="52">
        <v>2022.0</v>
      </c>
      <c r="B159" s="220" t="s">
        <v>864</v>
      </c>
      <c r="C159" s="68">
        <v>9.0</v>
      </c>
      <c r="D159" s="158" t="s">
        <v>1055</v>
      </c>
      <c r="E159" s="20" t="s">
        <v>635</v>
      </c>
      <c r="F159" s="190">
        <v>38149.0</v>
      </c>
      <c r="G159" s="68">
        <f t="shared" si="2"/>
        <v>18</v>
      </c>
      <c r="H159" s="191" t="s">
        <v>35</v>
      </c>
      <c r="I159" s="192" t="s">
        <v>36</v>
      </c>
      <c r="J159" s="191" t="s">
        <v>421</v>
      </c>
      <c r="K159" s="191" t="s">
        <v>1056</v>
      </c>
      <c r="L159" s="191" t="s">
        <v>423</v>
      </c>
      <c r="M159" s="191" t="s">
        <v>134</v>
      </c>
      <c r="N159" s="191" t="s">
        <v>1057</v>
      </c>
      <c r="O159" s="191" t="s">
        <v>1058</v>
      </c>
      <c r="P159" s="191" t="s">
        <v>42</v>
      </c>
      <c r="Q159" s="221">
        <v>43606.0</v>
      </c>
      <c r="R159" s="158" t="s">
        <v>1059</v>
      </c>
      <c r="S159" s="191" t="s">
        <v>1060</v>
      </c>
      <c r="T159" s="158" t="s">
        <v>429</v>
      </c>
      <c r="U159" s="191" t="s">
        <v>1061</v>
      </c>
      <c r="V159" s="191" t="s">
        <v>1062</v>
      </c>
      <c r="W159" s="191" t="s">
        <v>432</v>
      </c>
      <c r="X159" s="191" t="s">
        <v>35</v>
      </c>
      <c r="Y159" s="192" t="s">
        <v>36</v>
      </c>
      <c r="Z159" s="194" t="s">
        <v>1063</v>
      </c>
      <c r="AA159" s="191" t="s">
        <v>1064</v>
      </c>
      <c r="AB159" s="191" t="s">
        <v>882</v>
      </c>
      <c r="AC159" s="53"/>
      <c r="AD159" s="222" t="s">
        <v>402</v>
      </c>
      <c r="AE159" s="191" t="s">
        <v>403</v>
      </c>
      <c r="AF159" s="191" t="s">
        <v>404</v>
      </c>
    </row>
    <row r="160" ht="15.75" customHeight="1">
      <c r="A160" s="52">
        <v>2022.0</v>
      </c>
      <c r="B160" s="223"/>
      <c r="C160" s="68">
        <v>9.0</v>
      </c>
      <c r="D160" s="158" t="s">
        <v>359</v>
      </c>
      <c r="E160" s="20" t="s">
        <v>635</v>
      </c>
      <c r="F160" s="190">
        <v>38451.0</v>
      </c>
      <c r="G160" s="68">
        <f t="shared" si="2"/>
        <v>17</v>
      </c>
      <c r="H160" s="191" t="s">
        <v>361</v>
      </c>
      <c r="I160" s="191" t="s">
        <v>362</v>
      </c>
      <c r="J160" s="191" t="s">
        <v>37</v>
      </c>
      <c r="K160" s="191" t="s">
        <v>38</v>
      </c>
      <c r="L160" s="191" t="s">
        <v>39</v>
      </c>
      <c r="M160" s="191" t="s">
        <v>76</v>
      </c>
      <c r="N160" s="191" t="s">
        <v>363</v>
      </c>
      <c r="O160" s="191">
        <v>3949800.0</v>
      </c>
      <c r="P160" s="191" t="s">
        <v>364</v>
      </c>
      <c r="Q160" s="221">
        <v>41520.0</v>
      </c>
      <c r="R160" s="158" t="s">
        <v>366</v>
      </c>
      <c r="S160" s="191" t="s">
        <v>367</v>
      </c>
      <c r="T160" s="158" t="s">
        <v>212</v>
      </c>
      <c r="U160" s="191" t="s">
        <v>368</v>
      </c>
      <c r="V160" s="191" t="s">
        <v>369</v>
      </c>
      <c r="W160" s="191" t="s">
        <v>370</v>
      </c>
      <c r="X160" s="191" t="s">
        <v>35</v>
      </c>
      <c r="Y160" s="192" t="s">
        <v>36</v>
      </c>
      <c r="Z160" s="194" t="s">
        <v>371</v>
      </c>
      <c r="AA160" s="191"/>
      <c r="AB160" s="191" t="s">
        <v>1053</v>
      </c>
      <c r="AC160" s="191"/>
      <c r="AD160" s="224" t="s">
        <v>1054</v>
      </c>
      <c r="AE160" s="225"/>
      <c r="AF160" s="226"/>
    </row>
    <row r="161" ht="15.75" customHeight="1">
      <c r="A161" s="52">
        <v>2022.0</v>
      </c>
      <c r="B161" s="227"/>
      <c r="C161" s="68">
        <v>9.0</v>
      </c>
      <c r="D161" s="158" t="s">
        <v>389</v>
      </c>
      <c r="E161" s="20" t="s">
        <v>635</v>
      </c>
      <c r="F161" s="190">
        <v>38849.0</v>
      </c>
      <c r="G161" s="68">
        <f t="shared" si="2"/>
        <v>16</v>
      </c>
      <c r="H161" s="191" t="s">
        <v>35</v>
      </c>
      <c r="I161" s="192" t="s">
        <v>36</v>
      </c>
      <c r="J161" s="191" t="s">
        <v>37</v>
      </c>
      <c r="K161" s="191" t="s">
        <v>38</v>
      </c>
      <c r="L161" s="191" t="s">
        <v>39</v>
      </c>
      <c r="M161" s="191"/>
      <c r="N161" s="191" t="s">
        <v>392</v>
      </c>
      <c r="O161" s="191" t="s">
        <v>393</v>
      </c>
      <c r="P161" s="191" t="s">
        <v>866</v>
      </c>
      <c r="Q161" s="193">
        <v>42318.0</v>
      </c>
      <c r="R161" s="158" t="s">
        <v>232</v>
      </c>
      <c r="S161" s="191" t="s">
        <v>396</v>
      </c>
      <c r="T161" s="158" t="s">
        <v>867</v>
      </c>
      <c r="U161" s="191" t="s">
        <v>398</v>
      </c>
      <c r="V161" s="191" t="s">
        <v>868</v>
      </c>
      <c r="W161" s="191" t="s">
        <v>399</v>
      </c>
      <c r="X161" s="191" t="s">
        <v>35</v>
      </c>
      <c r="Y161" s="192" t="s">
        <v>36</v>
      </c>
      <c r="Z161" s="194" t="s">
        <v>400</v>
      </c>
      <c r="AA161" s="191"/>
      <c r="AB161" s="191" t="s">
        <v>869</v>
      </c>
      <c r="AC161" s="53"/>
      <c r="AD161" s="222" t="s">
        <v>870</v>
      </c>
      <c r="AE161" s="196">
        <v>41640.0</v>
      </c>
      <c r="AF161" s="191" t="s">
        <v>871</v>
      </c>
    </row>
    <row r="162" ht="15.75" customHeight="1">
      <c r="A162" s="52">
        <v>2022.0</v>
      </c>
      <c r="B162" s="189" t="s">
        <v>872</v>
      </c>
      <c r="C162" s="68">
        <v>9.0</v>
      </c>
      <c r="D162" s="158" t="s">
        <v>873</v>
      </c>
      <c r="E162" s="20" t="s">
        <v>635</v>
      </c>
      <c r="F162" s="32">
        <v>38155.0</v>
      </c>
      <c r="G162" s="68">
        <f t="shared" si="2"/>
        <v>18</v>
      </c>
      <c r="H162" s="20" t="s">
        <v>50</v>
      </c>
      <c r="I162" s="21" t="s">
        <v>36</v>
      </c>
      <c r="J162" s="20" t="s">
        <v>421</v>
      </c>
      <c r="K162" s="20" t="s">
        <v>422</v>
      </c>
      <c r="L162" s="20" t="s">
        <v>423</v>
      </c>
      <c r="M162" s="20" t="s">
        <v>76</v>
      </c>
      <c r="N162" s="20" t="s">
        <v>874</v>
      </c>
      <c r="O162" s="20" t="s">
        <v>875</v>
      </c>
      <c r="P162" s="20" t="s">
        <v>42</v>
      </c>
      <c r="Q162" s="35" t="s">
        <v>876</v>
      </c>
      <c r="R162" s="30" t="s">
        <v>877</v>
      </c>
      <c r="S162" s="20" t="s">
        <v>878</v>
      </c>
      <c r="T162" s="23" t="s">
        <v>879</v>
      </c>
      <c r="U162" s="20" t="s">
        <v>880</v>
      </c>
      <c r="V162" s="24" t="s">
        <v>252</v>
      </c>
      <c r="W162" s="20" t="s">
        <v>881</v>
      </c>
      <c r="X162" s="20" t="s">
        <v>35</v>
      </c>
      <c r="Y162" s="21" t="s">
        <v>36</v>
      </c>
      <c r="Z162" s="24" t="s">
        <v>497</v>
      </c>
      <c r="AA162" s="20">
        <v>71.0</v>
      </c>
      <c r="AB162" s="24" t="s">
        <v>882</v>
      </c>
      <c r="AC162" s="30"/>
      <c r="AD162" s="51"/>
      <c r="AE162" s="20"/>
      <c r="AF162" s="20"/>
    </row>
    <row r="163" ht="15.75" customHeight="1">
      <c r="A163" s="52">
        <v>2022.0</v>
      </c>
      <c r="B163" s="189" t="s">
        <v>1065</v>
      </c>
      <c r="C163" s="68">
        <v>9.0</v>
      </c>
      <c r="D163" s="158" t="s">
        <v>439</v>
      </c>
      <c r="E163" s="216" t="s">
        <v>865</v>
      </c>
      <c r="F163" s="32">
        <v>38836.0</v>
      </c>
      <c r="G163" s="68">
        <f t="shared" si="2"/>
        <v>16</v>
      </c>
      <c r="H163" s="20" t="s">
        <v>440</v>
      </c>
      <c r="I163" s="21" t="s">
        <v>36</v>
      </c>
      <c r="J163" s="20" t="s">
        <v>421</v>
      </c>
      <c r="K163" s="20" t="s">
        <v>422</v>
      </c>
      <c r="L163" s="20" t="s">
        <v>423</v>
      </c>
      <c r="M163" s="30"/>
      <c r="N163" s="20" t="s">
        <v>441</v>
      </c>
      <c r="O163" s="20" t="s">
        <v>442</v>
      </c>
      <c r="P163" s="20" t="s">
        <v>42</v>
      </c>
      <c r="Q163" s="35" t="s">
        <v>443</v>
      </c>
      <c r="R163" s="23" t="s">
        <v>444</v>
      </c>
      <c r="S163" s="20" t="s">
        <v>445</v>
      </c>
      <c r="T163" s="23" t="s">
        <v>446</v>
      </c>
      <c r="U163" s="20" t="s">
        <v>447</v>
      </c>
      <c r="V163" s="24" t="s">
        <v>252</v>
      </c>
      <c r="W163" s="20" t="s">
        <v>448</v>
      </c>
      <c r="X163" s="20" t="s">
        <v>35</v>
      </c>
      <c r="Y163" s="21" t="s">
        <v>36</v>
      </c>
      <c r="Z163" s="24" t="s">
        <v>449</v>
      </c>
      <c r="AA163" s="20" t="s">
        <v>450</v>
      </c>
      <c r="AB163" s="24" t="s">
        <v>451</v>
      </c>
      <c r="AC163" s="30"/>
      <c r="AD163" s="67" t="s">
        <v>452</v>
      </c>
      <c r="AE163" s="159" t="s">
        <v>453</v>
      </c>
      <c r="AF163" s="19" t="s">
        <v>454</v>
      </c>
    </row>
    <row r="164" ht="15.75" customHeight="1">
      <c r="A164" s="52">
        <v>2022.0</v>
      </c>
      <c r="B164" s="220" t="s">
        <v>1066</v>
      </c>
      <c r="C164" s="68">
        <v>3.0</v>
      </c>
      <c r="D164" s="158" t="s">
        <v>501</v>
      </c>
      <c r="E164" s="30" t="s">
        <v>865</v>
      </c>
      <c r="F164" s="32">
        <v>38753.0</v>
      </c>
      <c r="G164" s="68">
        <f t="shared" si="2"/>
        <v>16</v>
      </c>
      <c r="H164" s="20" t="s">
        <v>35</v>
      </c>
      <c r="I164" s="21" t="s">
        <v>36</v>
      </c>
      <c r="J164" s="20" t="s">
        <v>421</v>
      </c>
      <c r="K164" s="20" t="s">
        <v>422</v>
      </c>
      <c r="L164" s="20" t="s">
        <v>423</v>
      </c>
      <c r="M164" s="30"/>
      <c r="N164" s="20" t="s">
        <v>502</v>
      </c>
      <c r="O164" s="20" t="s">
        <v>503</v>
      </c>
      <c r="P164" s="20" t="s">
        <v>42</v>
      </c>
      <c r="Q164" s="20" t="s">
        <v>1067</v>
      </c>
      <c r="R164" s="30" t="s">
        <v>504</v>
      </c>
      <c r="S164" s="20" t="s">
        <v>505</v>
      </c>
      <c r="T164" s="23" t="s">
        <v>1068</v>
      </c>
      <c r="U164" s="20" t="s">
        <v>1069</v>
      </c>
      <c r="V164" s="24" t="s">
        <v>252</v>
      </c>
      <c r="W164" s="20" t="s">
        <v>508</v>
      </c>
      <c r="X164" s="20" t="s">
        <v>35</v>
      </c>
      <c r="Y164" s="21" t="s">
        <v>36</v>
      </c>
      <c r="Z164" s="24" t="s">
        <v>509</v>
      </c>
      <c r="AA164" s="20" t="s">
        <v>510</v>
      </c>
      <c r="AB164" s="24" t="s">
        <v>1070</v>
      </c>
      <c r="AC164" s="30"/>
      <c r="AD164" s="51" t="s">
        <v>512</v>
      </c>
      <c r="AE164" s="20" t="s">
        <v>71</v>
      </c>
      <c r="AF164" s="20" t="s">
        <v>513</v>
      </c>
    </row>
    <row r="165" ht="15.75" customHeight="1">
      <c r="A165" s="52">
        <v>2022.0</v>
      </c>
      <c r="B165" s="227"/>
      <c r="C165" s="68">
        <v>4.0</v>
      </c>
      <c r="D165" s="158" t="s">
        <v>714</v>
      </c>
      <c r="E165" s="30" t="s">
        <v>865</v>
      </c>
      <c r="F165" s="32">
        <v>38799.0</v>
      </c>
      <c r="G165" s="68">
        <f t="shared" si="2"/>
        <v>16</v>
      </c>
      <c r="H165" s="20" t="s">
        <v>35</v>
      </c>
      <c r="I165" s="21" t="s">
        <v>36</v>
      </c>
      <c r="J165" s="20" t="s">
        <v>421</v>
      </c>
      <c r="K165" s="20" t="s">
        <v>422</v>
      </c>
      <c r="L165" s="20" t="s">
        <v>423</v>
      </c>
      <c r="M165" s="20" t="s">
        <v>76</v>
      </c>
      <c r="N165" s="20" t="s">
        <v>715</v>
      </c>
      <c r="O165" s="20" t="s">
        <v>1071</v>
      </c>
      <c r="P165" s="20" t="s">
        <v>42</v>
      </c>
      <c r="Q165" s="20" t="s">
        <v>1072</v>
      </c>
      <c r="R165" s="30" t="s">
        <v>1073</v>
      </c>
      <c r="S165" s="20" t="s">
        <v>717</v>
      </c>
      <c r="T165" s="23" t="s">
        <v>1074</v>
      </c>
      <c r="U165" s="20" t="s">
        <v>1075</v>
      </c>
      <c r="V165" s="24" t="s">
        <v>141</v>
      </c>
      <c r="W165" s="20" t="s">
        <v>641</v>
      </c>
      <c r="X165" s="20" t="s">
        <v>50</v>
      </c>
      <c r="Y165" s="21" t="s">
        <v>36</v>
      </c>
      <c r="Z165" s="24" t="s">
        <v>1076</v>
      </c>
      <c r="AA165" s="20" t="s">
        <v>719</v>
      </c>
      <c r="AB165" s="24" t="s">
        <v>1077</v>
      </c>
      <c r="AC165" s="30"/>
      <c r="AD165" s="51"/>
      <c r="AE165" s="20"/>
      <c r="AF165" s="20"/>
    </row>
    <row r="166" ht="15.75" customHeight="1">
      <c r="A166" s="52">
        <v>2022.0</v>
      </c>
      <c r="B166" s="189" t="s">
        <v>1078</v>
      </c>
      <c r="C166" s="68">
        <v>9.0</v>
      </c>
      <c r="D166" s="158" t="s">
        <v>702</v>
      </c>
      <c r="E166" s="30" t="s">
        <v>865</v>
      </c>
      <c r="F166" s="32">
        <v>38689.0</v>
      </c>
      <c r="G166" s="68">
        <f t="shared" si="2"/>
        <v>17</v>
      </c>
      <c r="H166" s="20" t="s">
        <v>35</v>
      </c>
      <c r="I166" s="21" t="s">
        <v>36</v>
      </c>
      <c r="J166" s="20" t="s">
        <v>37</v>
      </c>
      <c r="K166" s="20" t="s">
        <v>38</v>
      </c>
      <c r="L166" s="20" t="s">
        <v>39</v>
      </c>
      <c r="M166" s="30"/>
      <c r="N166" s="20" t="s">
        <v>704</v>
      </c>
      <c r="O166" s="20" t="s">
        <v>1079</v>
      </c>
      <c r="P166" s="20" t="s">
        <v>42</v>
      </c>
      <c r="Q166" s="20" t="s">
        <v>1080</v>
      </c>
      <c r="R166" s="30" t="s">
        <v>1081</v>
      </c>
      <c r="S166" s="20" t="s">
        <v>706</v>
      </c>
      <c r="T166" s="23" t="s">
        <v>1082</v>
      </c>
      <c r="U166" s="20" t="s">
        <v>1083</v>
      </c>
      <c r="V166" s="24" t="s">
        <v>252</v>
      </c>
      <c r="W166" s="20" t="s">
        <v>709</v>
      </c>
      <c r="X166" s="20" t="s">
        <v>35</v>
      </c>
      <c r="Y166" s="21" t="s">
        <v>36</v>
      </c>
      <c r="Z166" s="24" t="s">
        <v>682</v>
      </c>
      <c r="AA166" s="20" t="s">
        <v>711</v>
      </c>
      <c r="AB166" s="24">
        <v>71.0</v>
      </c>
      <c r="AC166" s="30"/>
      <c r="AD166" s="51"/>
      <c r="AE166" s="20"/>
      <c r="AF166" s="20"/>
    </row>
    <row r="167" ht="15.75" customHeight="1">
      <c r="A167" s="52">
        <v>2022.0</v>
      </c>
      <c r="B167" s="189" t="s">
        <v>1084</v>
      </c>
      <c r="C167" s="68">
        <v>9.0</v>
      </c>
      <c r="D167" s="53" t="s">
        <v>721</v>
      </c>
      <c r="E167" s="30" t="s">
        <v>865</v>
      </c>
      <c r="F167" s="32">
        <v>39129.0</v>
      </c>
      <c r="G167" s="68">
        <f t="shared" si="2"/>
        <v>15</v>
      </c>
      <c r="H167" s="20" t="s">
        <v>35</v>
      </c>
      <c r="I167" s="21" t="s">
        <v>36</v>
      </c>
      <c r="J167" s="20" t="s">
        <v>421</v>
      </c>
      <c r="K167" s="20" t="s">
        <v>422</v>
      </c>
      <c r="L167" s="20" t="s">
        <v>423</v>
      </c>
      <c r="M167" s="20" t="s">
        <v>458</v>
      </c>
      <c r="N167" s="20" t="s">
        <v>459</v>
      </c>
      <c r="O167" s="20" t="s">
        <v>460</v>
      </c>
      <c r="P167" s="20" t="s">
        <v>42</v>
      </c>
      <c r="Q167" s="20" t="s">
        <v>461</v>
      </c>
      <c r="R167" s="30" t="s">
        <v>462</v>
      </c>
      <c r="S167" s="20" t="s">
        <v>463</v>
      </c>
      <c r="T167" s="23" t="s">
        <v>464</v>
      </c>
      <c r="U167" s="20" t="s">
        <v>465</v>
      </c>
      <c r="V167" s="24" t="s">
        <v>466</v>
      </c>
      <c r="W167" s="20" t="s">
        <v>467</v>
      </c>
      <c r="X167" s="20" t="s">
        <v>35</v>
      </c>
      <c r="Y167" s="21" t="s">
        <v>36</v>
      </c>
      <c r="Z167" s="24" t="s">
        <v>468</v>
      </c>
      <c r="AA167" s="30"/>
      <c r="AB167" s="24" t="s">
        <v>469</v>
      </c>
      <c r="AC167" s="30"/>
      <c r="AD167" s="44"/>
      <c r="AE167" s="44"/>
      <c r="AF167" s="44"/>
    </row>
    <row r="168" ht="30.0" customHeight="1">
      <c r="A168" s="52">
        <v>2022.0</v>
      </c>
      <c r="B168" s="9" t="s">
        <v>886</v>
      </c>
      <c r="C168" s="68">
        <v>9.0</v>
      </c>
      <c r="D168" s="158" t="s">
        <v>722</v>
      </c>
      <c r="E168" s="30" t="s">
        <v>1085</v>
      </c>
      <c r="F168" s="32">
        <v>38769.0</v>
      </c>
      <c r="G168" s="68">
        <f t="shared" si="2"/>
        <v>16</v>
      </c>
      <c r="H168" s="20" t="s">
        <v>35</v>
      </c>
      <c r="I168" s="21" t="s">
        <v>36</v>
      </c>
      <c r="J168" s="20" t="s">
        <v>37</v>
      </c>
      <c r="K168" s="20" t="s">
        <v>38</v>
      </c>
      <c r="L168" s="20" t="s">
        <v>39</v>
      </c>
      <c r="M168" s="30"/>
      <c r="N168" s="20" t="s">
        <v>723</v>
      </c>
      <c r="O168" s="20" t="s">
        <v>724</v>
      </c>
      <c r="P168" s="20" t="s">
        <v>42</v>
      </c>
      <c r="Q168" s="20" t="s">
        <v>725</v>
      </c>
      <c r="R168" s="30" t="s">
        <v>726</v>
      </c>
      <c r="S168" s="20" t="s">
        <v>727</v>
      </c>
      <c r="T168" s="23" t="s">
        <v>728</v>
      </c>
      <c r="U168" s="20" t="s">
        <v>729</v>
      </c>
      <c r="V168" s="24" t="s">
        <v>730</v>
      </c>
      <c r="W168" s="20" t="s">
        <v>564</v>
      </c>
      <c r="X168" s="20" t="s">
        <v>35</v>
      </c>
      <c r="Y168" s="21" t="s">
        <v>36</v>
      </c>
      <c r="Z168" s="24" t="s">
        <v>731</v>
      </c>
      <c r="AA168" s="20" t="s">
        <v>732</v>
      </c>
      <c r="AB168" s="24" t="s">
        <v>732</v>
      </c>
      <c r="AC168" s="30"/>
      <c r="AD168" s="51" t="s">
        <v>733</v>
      </c>
      <c r="AE168" s="20" t="s">
        <v>734</v>
      </c>
      <c r="AF168" s="20" t="s">
        <v>735</v>
      </c>
    </row>
    <row r="169" ht="15.75" customHeight="1">
      <c r="A169" s="52">
        <v>2022.0</v>
      </c>
      <c r="B169" s="9" t="s">
        <v>886</v>
      </c>
      <c r="C169" s="68">
        <v>7.0</v>
      </c>
      <c r="D169" s="158" t="s">
        <v>1086</v>
      </c>
      <c r="E169" s="30" t="s">
        <v>1085</v>
      </c>
      <c r="F169" s="32">
        <v>38580.0</v>
      </c>
      <c r="G169" s="68">
        <f t="shared" si="2"/>
        <v>17</v>
      </c>
      <c r="H169" s="20" t="s">
        <v>35</v>
      </c>
      <c r="I169" s="21" t="s">
        <v>36</v>
      </c>
      <c r="J169" s="20" t="s">
        <v>37</v>
      </c>
      <c r="K169" s="20" t="s">
        <v>38</v>
      </c>
      <c r="L169" s="20" t="s">
        <v>39</v>
      </c>
      <c r="M169" s="30"/>
      <c r="N169" s="20" t="s">
        <v>516</v>
      </c>
      <c r="O169" s="20" t="s">
        <v>1087</v>
      </c>
      <c r="P169" s="20" t="s">
        <v>42</v>
      </c>
      <c r="Q169" s="20" t="s">
        <v>1088</v>
      </c>
      <c r="R169" s="30" t="s">
        <v>1089</v>
      </c>
      <c r="S169" s="20" t="s">
        <v>516</v>
      </c>
      <c r="T169" s="23" t="s">
        <v>1090</v>
      </c>
      <c r="U169" s="30"/>
      <c r="V169" s="24" t="s">
        <v>521</v>
      </c>
      <c r="W169" s="20" t="s">
        <v>522</v>
      </c>
      <c r="X169" s="20" t="s">
        <v>35</v>
      </c>
      <c r="Y169" s="21" t="s">
        <v>36</v>
      </c>
      <c r="Z169" s="24" t="s">
        <v>1091</v>
      </c>
      <c r="AA169" s="20" t="s">
        <v>525</v>
      </c>
      <c r="AB169" s="24">
        <v>71.0</v>
      </c>
      <c r="AC169" s="30"/>
      <c r="AD169" s="51" t="s">
        <v>526</v>
      </c>
      <c r="AE169" s="20" t="s">
        <v>527</v>
      </c>
      <c r="AF169" s="20" t="s">
        <v>528</v>
      </c>
    </row>
    <row r="170" ht="15.75" customHeight="1">
      <c r="A170" s="52">
        <v>2022.0</v>
      </c>
      <c r="B170" s="9" t="s">
        <v>886</v>
      </c>
      <c r="C170" s="68">
        <v>7.0</v>
      </c>
      <c r="D170" s="158" t="s">
        <v>1092</v>
      </c>
      <c r="E170" s="30" t="s">
        <v>865</v>
      </c>
      <c r="F170" s="32">
        <v>39181.0</v>
      </c>
      <c r="G170" s="68">
        <f t="shared" si="2"/>
        <v>15</v>
      </c>
      <c r="H170" s="20" t="s">
        <v>35</v>
      </c>
      <c r="I170" s="21" t="s">
        <v>36</v>
      </c>
      <c r="J170" s="20" t="s">
        <v>37</v>
      </c>
      <c r="K170" s="20" t="s">
        <v>38</v>
      </c>
      <c r="L170" s="20" t="s">
        <v>39</v>
      </c>
      <c r="M170" s="20" t="s">
        <v>134</v>
      </c>
      <c r="N170" s="20" t="s">
        <v>1093</v>
      </c>
      <c r="O170" s="20" t="s">
        <v>1094</v>
      </c>
      <c r="P170" s="20" t="s">
        <v>42</v>
      </c>
      <c r="Q170" s="20" t="s">
        <v>1095</v>
      </c>
      <c r="R170" s="30" t="s">
        <v>1096</v>
      </c>
      <c r="S170" s="20" t="s">
        <v>1097</v>
      </c>
      <c r="T170" s="23" t="s">
        <v>1098</v>
      </c>
      <c r="U170" s="20" t="s">
        <v>1099</v>
      </c>
      <c r="V170" s="24" t="s">
        <v>1100</v>
      </c>
      <c r="W170" s="20" t="s">
        <v>1101</v>
      </c>
      <c r="X170" s="20" t="s">
        <v>35</v>
      </c>
      <c r="Y170" s="21" t="s">
        <v>36</v>
      </c>
      <c r="Z170" s="24" t="s">
        <v>1102</v>
      </c>
      <c r="AA170" s="20" t="s">
        <v>1103</v>
      </c>
      <c r="AB170" s="24" t="s">
        <v>1104</v>
      </c>
      <c r="AC170" s="30"/>
      <c r="AD170" s="51" t="s">
        <v>1105</v>
      </c>
      <c r="AE170" s="20" t="s">
        <v>147</v>
      </c>
      <c r="AF170" s="20" t="s">
        <v>1106</v>
      </c>
    </row>
    <row r="171" ht="15.75" customHeight="1">
      <c r="A171" s="52">
        <v>2022.0</v>
      </c>
      <c r="B171" s="9" t="s">
        <v>886</v>
      </c>
      <c r="C171" s="68">
        <v>4.0</v>
      </c>
      <c r="D171" s="158" t="s">
        <v>1107</v>
      </c>
      <c r="E171" s="30" t="s">
        <v>865</v>
      </c>
      <c r="F171" s="32">
        <v>39080.0</v>
      </c>
      <c r="G171" s="68">
        <f t="shared" si="2"/>
        <v>16</v>
      </c>
      <c r="H171" s="20" t="s">
        <v>35</v>
      </c>
      <c r="I171" s="21" t="s">
        <v>36</v>
      </c>
      <c r="J171" s="20" t="s">
        <v>37</v>
      </c>
      <c r="K171" s="20" t="s">
        <v>38</v>
      </c>
      <c r="L171" s="20" t="s">
        <v>39</v>
      </c>
      <c r="M171" s="30"/>
      <c r="N171" s="20" t="s">
        <v>1108</v>
      </c>
      <c r="O171" s="20" t="s">
        <v>1109</v>
      </c>
      <c r="P171" s="20" t="s">
        <v>42</v>
      </c>
      <c r="Q171" s="20" t="s">
        <v>1110</v>
      </c>
      <c r="R171" s="30" t="s">
        <v>1111</v>
      </c>
      <c r="S171" s="20" t="s">
        <v>1112</v>
      </c>
      <c r="T171" s="23" t="s">
        <v>1113</v>
      </c>
      <c r="U171" s="20" t="s">
        <v>1114</v>
      </c>
      <c r="V171" s="24" t="s">
        <v>1115</v>
      </c>
      <c r="W171" s="20" t="s">
        <v>1116</v>
      </c>
      <c r="X171" s="20" t="s">
        <v>35</v>
      </c>
      <c r="Y171" s="21" t="s">
        <v>36</v>
      </c>
      <c r="Z171" s="24" t="s">
        <v>1117</v>
      </c>
      <c r="AA171" s="20" t="s">
        <v>1118</v>
      </c>
      <c r="AB171" s="24" t="s">
        <v>1119</v>
      </c>
      <c r="AC171" s="30"/>
      <c r="AD171" s="51" t="s">
        <v>1120</v>
      </c>
      <c r="AE171" s="20" t="s">
        <v>403</v>
      </c>
      <c r="AF171" s="20" t="s">
        <v>1121</v>
      </c>
    </row>
    <row r="172" ht="15.75" customHeight="1">
      <c r="A172" s="52">
        <v>2022.0</v>
      </c>
      <c r="B172" s="9" t="s">
        <v>886</v>
      </c>
      <c r="C172" s="68">
        <v>7.0</v>
      </c>
      <c r="D172" s="158" t="s">
        <v>1122</v>
      </c>
      <c r="E172" s="30" t="s">
        <v>865</v>
      </c>
      <c r="F172" s="32">
        <v>38925.0</v>
      </c>
      <c r="G172" s="68">
        <f t="shared" si="2"/>
        <v>16</v>
      </c>
      <c r="H172" s="20" t="s">
        <v>35</v>
      </c>
      <c r="I172" s="21" t="s">
        <v>36</v>
      </c>
      <c r="J172" s="20" t="s">
        <v>37</v>
      </c>
      <c r="K172" s="20" t="s">
        <v>38</v>
      </c>
      <c r="L172" s="20" t="s">
        <v>39</v>
      </c>
      <c r="M172" s="20" t="s">
        <v>76</v>
      </c>
      <c r="N172" s="20" t="s">
        <v>1123</v>
      </c>
      <c r="O172" s="20" t="s">
        <v>1124</v>
      </c>
      <c r="P172" s="20" t="s">
        <v>42</v>
      </c>
      <c r="Q172" s="20" t="s">
        <v>1125</v>
      </c>
      <c r="R172" s="30" t="s">
        <v>1126</v>
      </c>
      <c r="S172" s="20" t="s">
        <v>1127</v>
      </c>
      <c r="T172" s="30"/>
      <c r="U172" s="30"/>
      <c r="V172" s="30"/>
      <c r="W172" s="30"/>
      <c r="X172" s="30"/>
      <c r="Y172" s="20"/>
      <c r="Z172" s="23"/>
      <c r="AA172" s="30"/>
      <c r="AB172" s="30"/>
      <c r="AC172" s="30"/>
      <c r="AD172" s="30"/>
      <c r="AE172" s="30"/>
      <c r="AF172" s="30"/>
    </row>
    <row r="173" ht="15.75" customHeight="1">
      <c r="A173" s="52">
        <v>2022.0</v>
      </c>
      <c r="B173" s="9" t="s">
        <v>886</v>
      </c>
      <c r="C173" s="68">
        <v>2.0</v>
      </c>
      <c r="D173" s="158" t="s">
        <v>1128</v>
      </c>
      <c r="E173" s="30" t="s">
        <v>865</v>
      </c>
      <c r="F173" s="32">
        <v>39140.0</v>
      </c>
      <c r="G173" s="68">
        <f t="shared" si="2"/>
        <v>15</v>
      </c>
      <c r="H173" s="20" t="s">
        <v>35</v>
      </c>
      <c r="I173" s="21" t="s">
        <v>36</v>
      </c>
      <c r="J173" s="20" t="s">
        <v>37</v>
      </c>
      <c r="K173" s="20" t="s">
        <v>38</v>
      </c>
      <c r="L173" s="20" t="s">
        <v>39</v>
      </c>
      <c r="M173" s="30"/>
      <c r="N173" s="20" t="s">
        <v>1129</v>
      </c>
      <c r="O173" s="20" t="s">
        <v>1130</v>
      </c>
      <c r="P173" s="20" t="s">
        <v>42</v>
      </c>
      <c r="Q173" s="20" t="s">
        <v>1131</v>
      </c>
      <c r="R173" s="30" t="s">
        <v>1132</v>
      </c>
      <c r="S173" s="20" t="s">
        <v>1133</v>
      </c>
      <c r="T173" s="23" t="s">
        <v>1134</v>
      </c>
      <c r="U173" s="20" t="s">
        <v>1135</v>
      </c>
      <c r="V173" s="24" t="s">
        <v>1136</v>
      </c>
      <c r="W173" s="20" t="s">
        <v>1137</v>
      </c>
      <c r="X173" s="20" t="s">
        <v>35</v>
      </c>
      <c r="Y173" s="21" t="s">
        <v>36</v>
      </c>
      <c r="Z173" s="24" t="s">
        <v>497</v>
      </c>
      <c r="AA173" s="30" t="s">
        <v>1138</v>
      </c>
      <c r="AB173" s="30"/>
      <c r="AC173" s="30"/>
      <c r="AD173" s="30"/>
      <c r="AE173" s="30"/>
      <c r="AF173" s="30"/>
    </row>
    <row r="174" ht="15.75" customHeight="1">
      <c r="A174" s="52">
        <v>2022.0</v>
      </c>
      <c r="B174" s="9" t="s">
        <v>886</v>
      </c>
      <c r="C174" s="68">
        <v>9.0</v>
      </c>
      <c r="D174" s="158" t="s">
        <v>887</v>
      </c>
      <c r="E174" s="30" t="s">
        <v>1085</v>
      </c>
      <c r="F174" s="32">
        <v>38536.0</v>
      </c>
      <c r="G174" s="68">
        <f t="shared" si="2"/>
        <v>17</v>
      </c>
      <c r="H174" s="20" t="s">
        <v>35</v>
      </c>
      <c r="I174" s="21" t="s">
        <v>36</v>
      </c>
      <c r="J174" s="20" t="s">
        <v>37</v>
      </c>
      <c r="K174" s="20" t="s">
        <v>38</v>
      </c>
      <c r="L174" s="20" t="s">
        <v>39</v>
      </c>
      <c r="M174" s="30"/>
      <c r="N174" s="20" t="s">
        <v>1139</v>
      </c>
      <c r="O174" s="20" t="s">
        <v>889</v>
      </c>
      <c r="P174" s="20" t="s">
        <v>42</v>
      </c>
      <c r="Q174" s="20" t="s">
        <v>1140</v>
      </c>
      <c r="R174" s="30" t="s">
        <v>1141</v>
      </c>
      <c r="S174" s="20" t="s">
        <v>891</v>
      </c>
      <c r="T174" s="23" t="s">
        <v>1142</v>
      </c>
      <c r="U174" s="20" t="s">
        <v>893</v>
      </c>
      <c r="V174" s="24" t="s">
        <v>894</v>
      </c>
      <c r="W174" s="20" t="s">
        <v>895</v>
      </c>
      <c r="X174" s="20" t="s">
        <v>35</v>
      </c>
      <c r="Y174" s="21" t="s">
        <v>36</v>
      </c>
      <c r="Z174" s="24" t="s">
        <v>772</v>
      </c>
      <c r="AA174" s="20" t="s">
        <v>896</v>
      </c>
      <c r="AB174" s="24" t="s">
        <v>1143</v>
      </c>
      <c r="AC174" s="30"/>
      <c r="AD174" s="51" t="s">
        <v>1144</v>
      </c>
      <c r="AE174" s="20" t="s">
        <v>437</v>
      </c>
      <c r="AF174" s="20" t="s">
        <v>898</v>
      </c>
    </row>
    <row r="175" ht="15.75" customHeight="1">
      <c r="A175" s="52">
        <v>2025.0</v>
      </c>
      <c r="B175" s="228" t="s">
        <v>1145</v>
      </c>
      <c r="C175" s="11"/>
      <c r="D175" s="229" t="s">
        <v>1146</v>
      </c>
      <c r="E175" s="20" t="s">
        <v>33</v>
      </c>
      <c r="F175" s="30"/>
      <c r="G175" s="30"/>
      <c r="H175" s="30"/>
      <c r="I175" s="30"/>
      <c r="J175" s="20" t="s">
        <v>37</v>
      </c>
      <c r="K175" s="20" t="s">
        <v>38</v>
      </c>
      <c r="L175" s="20" t="s">
        <v>39</v>
      </c>
      <c r="M175" s="230"/>
      <c r="N175" s="230">
        <v>1.171956258E10</v>
      </c>
      <c r="O175" s="231">
        <v>2.180166974E9</v>
      </c>
      <c r="P175" s="20" t="s">
        <v>42</v>
      </c>
      <c r="Q175" s="232"/>
      <c r="R175" s="233"/>
      <c r="S175" s="232"/>
      <c r="T175" s="232"/>
      <c r="U175" s="232"/>
      <c r="V175" s="232"/>
      <c r="W175" s="232"/>
      <c r="X175" s="20" t="s">
        <v>35</v>
      </c>
      <c r="Y175" s="21" t="s">
        <v>36</v>
      </c>
      <c r="Z175" s="232"/>
      <c r="AA175" s="232"/>
      <c r="AB175" s="234" t="s">
        <v>1147</v>
      </c>
      <c r="AC175" s="232"/>
      <c r="AD175" s="235" t="s">
        <v>1148</v>
      </c>
      <c r="AE175" s="232"/>
      <c r="AF175" s="232"/>
    </row>
    <row r="176" ht="15.75" customHeight="1">
      <c r="A176" s="52">
        <v>2025.0</v>
      </c>
      <c r="B176" s="228" t="s">
        <v>1145</v>
      </c>
      <c r="C176" s="11"/>
      <c r="D176" s="229" t="s">
        <v>1149</v>
      </c>
      <c r="E176" s="20" t="s">
        <v>33</v>
      </c>
      <c r="F176" s="30"/>
      <c r="G176" s="30"/>
      <c r="H176" s="30"/>
      <c r="I176" s="30"/>
      <c r="J176" s="20" t="s">
        <v>37</v>
      </c>
      <c r="K176" s="20" t="s">
        <v>38</v>
      </c>
      <c r="L176" s="20" t="s">
        <v>39</v>
      </c>
      <c r="M176" s="230"/>
      <c r="N176" s="230">
        <v>1.307564658E10</v>
      </c>
      <c r="O176" s="231">
        <v>1.307564658E10</v>
      </c>
      <c r="P176" s="20" t="s">
        <v>42</v>
      </c>
      <c r="Q176" s="232"/>
      <c r="R176" s="233"/>
      <c r="S176" s="232"/>
      <c r="T176" s="232"/>
      <c r="U176" s="232"/>
      <c r="V176" s="232"/>
      <c r="W176" s="232"/>
      <c r="X176" s="20" t="s">
        <v>35</v>
      </c>
      <c r="Y176" s="21" t="s">
        <v>36</v>
      </c>
      <c r="Z176" s="232"/>
      <c r="AA176" s="232"/>
      <c r="AB176" s="234" t="s">
        <v>1150</v>
      </c>
      <c r="AC176" s="232"/>
      <c r="AD176" s="232"/>
      <c r="AE176" s="232"/>
      <c r="AF176" s="232"/>
    </row>
    <row r="177" ht="15.75" customHeight="1">
      <c r="A177" s="52">
        <v>2025.0</v>
      </c>
      <c r="B177" s="228" t="s">
        <v>1145</v>
      </c>
      <c r="C177" s="11"/>
      <c r="D177" s="229" t="s">
        <v>1151</v>
      </c>
      <c r="E177" s="20" t="s">
        <v>33</v>
      </c>
      <c r="F177" s="30"/>
      <c r="G177" s="30"/>
      <c r="H177" s="30"/>
      <c r="I177" s="30"/>
      <c r="J177" s="20" t="s">
        <v>37</v>
      </c>
      <c r="K177" s="20" t="s">
        <v>38</v>
      </c>
      <c r="L177" s="20" t="s">
        <v>39</v>
      </c>
      <c r="M177" s="230"/>
      <c r="N177" s="230">
        <v>1.0882441574E10</v>
      </c>
      <c r="O177" s="231">
        <v>2.309149074E9</v>
      </c>
      <c r="P177" s="20" t="s">
        <v>42</v>
      </c>
      <c r="Q177" s="232"/>
      <c r="R177" s="233"/>
      <c r="S177" s="232"/>
      <c r="T177" s="232"/>
      <c r="U177" s="232"/>
      <c r="V177" s="232"/>
      <c r="W177" s="232"/>
      <c r="X177" s="20" t="s">
        <v>35</v>
      </c>
      <c r="Y177" s="21" t="s">
        <v>36</v>
      </c>
      <c r="Z177" s="232"/>
      <c r="AA177" s="232"/>
      <c r="AB177" s="234" t="s">
        <v>1152</v>
      </c>
      <c r="AC177" s="232"/>
      <c r="AD177" s="232"/>
      <c r="AE177" s="232"/>
      <c r="AF177" s="232"/>
    </row>
    <row r="178" ht="15.75" customHeight="1">
      <c r="A178" s="52">
        <v>2025.0</v>
      </c>
      <c r="B178" s="228" t="s">
        <v>1145</v>
      </c>
      <c r="C178" s="11"/>
      <c r="D178" s="229" t="s">
        <v>1153</v>
      </c>
      <c r="E178" s="20" t="s">
        <v>33</v>
      </c>
      <c r="F178" s="30"/>
      <c r="G178" s="30"/>
      <c r="H178" s="30"/>
      <c r="I178" s="30"/>
      <c r="J178" s="20" t="s">
        <v>37</v>
      </c>
      <c r="K178" s="20" t="s">
        <v>38</v>
      </c>
      <c r="L178" s="20" t="s">
        <v>39</v>
      </c>
      <c r="M178" s="230"/>
      <c r="N178" s="230">
        <v>8.67053195E10</v>
      </c>
      <c r="O178" s="231">
        <v>2.25185253E9</v>
      </c>
      <c r="P178" s="20" t="s">
        <v>42</v>
      </c>
      <c r="Q178" s="232"/>
      <c r="R178" s="233"/>
      <c r="S178" s="232"/>
      <c r="T178" s="232"/>
      <c r="U178" s="232"/>
      <c r="V178" s="232"/>
      <c r="W178" s="232"/>
      <c r="X178" s="20" t="s">
        <v>35</v>
      </c>
      <c r="Y178" s="21" t="s">
        <v>36</v>
      </c>
      <c r="Z178" s="232"/>
      <c r="AA178" s="232"/>
      <c r="AB178" s="234" t="s">
        <v>1154</v>
      </c>
      <c r="AC178" s="232"/>
      <c r="AD178" s="232"/>
      <c r="AE178" s="232"/>
      <c r="AF178" s="232"/>
    </row>
    <row r="179" ht="15.75" customHeight="1">
      <c r="A179" s="52">
        <v>2025.0</v>
      </c>
      <c r="B179" s="228" t="s">
        <v>1145</v>
      </c>
      <c r="C179" s="11"/>
      <c r="D179" s="229" t="s">
        <v>1155</v>
      </c>
      <c r="E179" s="20" t="s">
        <v>33</v>
      </c>
      <c r="F179" s="30"/>
      <c r="G179" s="30"/>
      <c r="H179" s="30"/>
      <c r="I179" s="30"/>
      <c r="J179" s="20" t="s">
        <v>37</v>
      </c>
      <c r="K179" s="20" t="s">
        <v>38</v>
      </c>
      <c r="L179" s="20" t="s">
        <v>39</v>
      </c>
      <c r="M179" s="230"/>
      <c r="N179" s="230">
        <v>8.6265428527E10</v>
      </c>
      <c r="O179" s="231">
        <v>2.133182888E9</v>
      </c>
      <c r="P179" s="20" t="s">
        <v>42</v>
      </c>
      <c r="Q179" s="232"/>
      <c r="R179" s="233"/>
      <c r="S179" s="232"/>
      <c r="T179" s="232"/>
      <c r="U179" s="232"/>
      <c r="V179" s="232"/>
      <c r="W179" s="232"/>
      <c r="X179" s="20" t="s">
        <v>35</v>
      </c>
      <c r="Y179" s="21" t="s">
        <v>36</v>
      </c>
      <c r="Z179" s="232"/>
      <c r="AA179" s="232"/>
      <c r="AB179" s="234" t="s">
        <v>1156</v>
      </c>
      <c r="AC179" s="232"/>
      <c r="AD179" s="232"/>
      <c r="AE179" s="232"/>
      <c r="AF179" s="232"/>
    </row>
    <row r="180" ht="15.75" customHeight="1">
      <c r="A180" s="52">
        <v>2025.0</v>
      </c>
      <c r="B180" s="228" t="s">
        <v>1157</v>
      </c>
      <c r="C180" s="11"/>
      <c r="D180" s="229" t="s">
        <v>1158</v>
      </c>
      <c r="E180" s="20" t="s">
        <v>33</v>
      </c>
      <c r="F180" s="30"/>
      <c r="G180" s="30"/>
      <c r="H180" s="30"/>
      <c r="I180" s="30"/>
      <c r="J180" s="20" t="s">
        <v>37</v>
      </c>
      <c r="K180" s="20" t="s">
        <v>38</v>
      </c>
      <c r="L180" s="20" t="s">
        <v>39</v>
      </c>
      <c r="M180" s="236"/>
      <c r="N180" s="236">
        <v>1.2008239586E10</v>
      </c>
      <c r="O180" s="237">
        <v>2.347168517E9</v>
      </c>
      <c r="P180" s="20" t="s">
        <v>42</v>
      </c>
      <c r="Q180" s="232"/>
      <c r="R180" s="233"/>
      <c r="S180" s="232"/>
      <c r="T180" s="232"/>
      <c r="U180" s="232"/>
      <c r="V180" s="232"/>
      <c r="W180" s="232"/>
      <c r="X180" s="20" t="s">
        <v>35</v>
      </c>
      <c r="Y180" s="21" t="s">
        <v>36</v>
      </c>
      <c r="Z180" s="232"/>
      <c r="AA180" s="232"/>
      <c r="AB180" s="234" t="s">
        <v>1159</v>
      </c>
      <c r="AC180" s="232"/>
      <c r="AD180" s="232"/>
      <c r="AE180" s="232"/>
      <c r="AF180" s="232"/>
    </row>
    <row r="181" ht="15.75" customHeight="1">
      <c r="A181" s="52">
        <v>2025.0</v>
      </c>
      <c r="B181" s="228" t="s">
        <v>1157</v>
      </c>
      <c r="C181" s="11"/>
      <c r="D181" s="229" t="s">
        <v>1160</v>
      </c>
      <c r="E181" s="20" t="s">
        <v>33</v>
      </c>
      <c r="F181" s="30"/>
      <c r="G181" s="30"/>
      <c r="H181" s="30"/>
      <c r="I181" s="30"/>
      <c r="J181" s="20" t="s">
        <v>37</v>
      </c>
      <c r="K181" s="20" t="s">
        <v>38</v>
      </c>
      <c r="L181" s="20" t="s">
        <v>39</v>
      </c>
      <c r="M181" s="236"/>
      <c r="N181" s="236">
        <v>1.1453351523E10</v>
      </c>
      <c r="O181" s="237">
        <v>2.387846818E9</v>
      </c>
      <c r="P181" s="20" t="s">
        <v>42</v>
      </c>
      <c r="Q181" s="232"/>
      <c r="R181" s="233"/>
      <c r="S181" s="232"/>
      <c r="T181" s="232"/>
      <c r="U181" s="232"/>
      <c r="V181" s="232"/>
      <c r="W181" s="232"/>
      <c r="X181" s="20" t="s">
        <v>35</v>
      </c>
      <c r="Y181" s="21" t="s">
        <v>36</v>
      </c>
      <c r="Z181" s="232"/>
      <c r="AA181" s="232"/>
      <c r="AB181" s="234" t="s">
        <v>1161</v>
      </c>
      <c r="AC181" s="232"/>
      <c r="AD181" s="232"/>
      <c r="AE181" s="232"/>
      <c r="AF181" s="232"/>
    </row>
    <row r="182" ht="15.75" customHeight="1">
      <c r="A182" s="52">
        <v>2025.0</v>
      </c>
      <c r="B182" s="228" t="s">
        <v>1157</v>
      </c>
      <c r="C182" s="11"/>
      <c r="D182" s="229" t="s">
        <v>1162</v>
      </c>
      <c r="E182" s="20" t="s">
        <v>33</v>
      </c>
      <c r="F182" s="30"/>
      <c r="G182" s="30"/>
      <c r="H182" s="30"/>
      <c r="I182" s="30"/>
      <c r="J182" s="20" t="s">
        <v>37</v>
      </c>
      <c r="K182" s="20" t="s">
        <v>38</v>
      </c>
      <c r="L182" s="20" t="s">
        <v>39</v>
      </c>
      <c r="M182" s="236"/>
      <c r="N182" s="236">
        <v>1.1929038542E10</v>
      </c>
      <c r="O182" s="237">
        <v>1.667644009E9</v>
      </c>
      <c r="P182" s="20" t="s">
        <v>42</v>
      </c>
      <c r="Q182" s="232"/>
      <c r="R182" s="233"/>
      <c r="S182" s="232"/>
      <c r="T182" s="232"/>
      <c r="U182" s="232"/>
      <c r="V182" s="232"/>
      <c r="W182" s="232"/>
      <c r="X182" s="20" t="s">
        <v>35</v>
      </c>
      <c r="Y182" s="21" t="s">
        <v>36</v>
      </c>
      <c r="Z182" s="232"/>
      <c r="AA182" s="232"/>
      <c r="AB182" s="234" t="s">
        <v>1163</v>
      </c>
      <c r="AC182" s="232"/>
      <c r="AD182" s="232"/>
      <c r="AE182" s="232"/>
      <c r="AF182" s="232"/>
    </row>
    <row r="183" ht="15.75" customHeight="1">
      <c r="A183" s="52">
        <v>2025.0</v>
      </c>
      <c r="B183" s="228" t="s">
        <v>1157</v>
      </c>
      <c r="C183" s="11"/>
      <c r="D183" s="229" t="s">
        <v>1164</v>
      </c>
      <c r="E183" s="20" t="s">
        <v>33</v>
      </c>
      <c r="F183" s="30"/>
      <c r="G183" s="30"/>
      <c r="H183" s="30"/>
      <c r="I183" s="30"/>
      <c r="J183" s="20" t="s">
        <v>37</v>
      </c>
      <c r="K183" s="20" t="s">
        <v>38</v>
      </c>
      <c r="L183" s="20" t="s">
        <v>39</v>
      </c>
      <c r="M183" s="236"/>
      <c r="N183" s="236">
        <v>7.562567557E9</v>
      </c>
      <c r="O183" s="237">
        <v>2.100213571E9</v>
      </c>
      <c r="P183" s="20" t="s">
        <v>42</v>
      </c>
      <c r="Q183" s="232"/>
      <c r="R183" s="233"/>
      <c r="S183" s="232"/>
      <c r="T183" s="232"/>
      <c r="U183" s="232"/>
      <c r="V183" s="232"/>
      <c r="W183" s="232"/>
      <c r="X183" s="20" t="s">
        <v>35</v>
      </c>
      <c r="Y183" s="21" t="s">
        <v>36</v>
      </c>
      <c r="Z183" s="232"/>
      <c r="AA183" s="232"/>
      <c r="AB183" s="234" t="s">
        <v>1165</v>
      </c>
      <c r="AC183" s="232"/>
      <c r="AD183" s="232"/>
      <c r="AE183" s="232"/>
      <c r="AF183" s="232"/>
    </row>
    <row r="184" ht="15.75" customHeight="1">
      <c r="A184" s="52">
        <v>2025.0</v>
      </c>
      <c r="B184" s="228" t="s">
        <v>1157</v>
      </c>
      <c r="C184" s="11"/>
      <c r="D184" s="238" t="s">
        <v>1166</v>
      </c>
      <c r="E184" s="20" t="s">
        <v>33</v>
      </c>
      <c r="F184" s="30"/>
      <c r="G184" s="30"/>
      <c r="H184" s="30"/>
      <c r="I184" s="30"/>
      <c r="J184" s="20" t="s">
        <v>37</v>
      </c>
      <c r="K184" s="20" t="s">
        <v>38</v>
      </c>
      <c r="L184" s="20" t="s">
        <v>39</v>
      </c>
      <c r="M184" s="230"/>
      <c r="N184" s="230">
        <v>1.2212175507E10</v>
      </c>
      <c r="O184" s="231">
        <v>2.235576419E9</v>
      </c>
      <c r="P184" s="20" t="s">
        <v>42</v>
      </c>
      <c r="Q184" s="232"/>
      <c r="R184" s="233"/>
      <c r="S184" s="232"/>
      <c r="T184" s="232"/>
      <c r="U184" s="232"/>
      <c r="V184" s="232"/>
      <c r="W184" s="232"/>
      <c r="X184" s="20" t="s">
        <v>35</v>
      </c>
      <c r="Y184" s="21" t="s">
        <v>36</v>
      </c>
      <c r="Z184" s="232"/>
      <c r="AA184" s="232"/>
      <c r="AB184" s="234" t="s">
        <v>1167</v>
      </c>
      <c r="AC184" s="232"/>
      <c r="AD184" s="232"/>
      <c r="AE184" s="232"/>
      <c r="AF184" s="232"/>
    </row>
    <row r="185" ht="15.75" customHeight="1">
      <c r="A185" s="52">
        <v>2025.0</v>
      </c>
      <c r="B185" s="228" t="s">
        <v>1168</v>
      </c>
      <c r="C185" s="11"/>
      <c r="D185" s="238" t="s">
        <v>1169</v>
      </c>
      <c r="E185" s="20" t="s">
        <v>33</v>
      </c>
      <c r="F185" s="30"/>
      <c r="G185" s="30"/>
      <c r="H185" s="30"/>
      <c r="I185" s="30"/>
      <c r="J185" s="20" t="s">
        <v>37</v>
      </c>
      <c r="K185" s="20" t="s">
        <v>38</v>
      </c>
      <c r="L185" s="20" t="s">
        <v>39</v>
      </c>
      <c r="M185" s="230"/>
      <c r="N185" s="230">
        <v>9.635780575E9</v>
      </c>
      <c r="O185" s="231">
        <v>2.253691682E9</v>
      </c>
      <c r="P185" s="20" t="s">
        <v>42</v>
      </c>
      <c r="Q185" s="232"/>
      <c r="R185" s="233"/>
      <c r="S185" s="232"/>
      <c r="T185" s="232"/>
      <c r="U185" s="232"/>
      <c r="V185" s="232"/>
      <c r="W185" s="232"/>
      <c r="X185" s="20" t="s">
        <v>35</v>
      </c>
      <c r="Y185" s="21" t="s">
        <v>36</v>
      </c>
      <c r="Z185" s="232"/>
      <c r="AA185" s="232"/>
      <c r="AB185" s="234" t="s">
        <v>1170</v>
      </c>
      <c r="AC185" s="232"/>
      <c r="AD185" s="232"/>
      <c r="AE185" s="232"/>
      <c r="AF185" s="232"/>
    </row>
    <row r="186" ht="15.75" customHeight="1">
      <c r="A186" s="52">
        <v>2025.0</v>
      </c>
      <c r="B186" s="228" t="s">
        <v>1168</v>
      </c>
      <c r="C186" s="11"/>
      <c r="D186" s="238" t="s">
        <v>1171</v>
      </c>
      <c r="E186" s="20" t="s">
        <v>33</v>
      </c>
      <c r="F186" s="30"/>
      <c r="G186" s="30"/>
      <c r="H186" s="30"/>
      <c r="I186" s="30"/>
      <c r="J186" s="20" t="s">
        <v>37</v>
      </c>
      <c r="K186" s="20" t="s">
        <v>38</v>
      </c>
      <c r="L186" s="20" t="s">
        <v>39</v>
      </c>
      <c r="M186" s="236"/>
      <c r="N186" s="236">
        <v>8.687304153E10</v>
      </c>
      <c r="O186" s="237">
        <v>8.687304153E10</v>
      </c>
      <c r="P186" s="20" t="s">
        <v>42</v>
      </c>
      <c r="Q186" s="232"/>
      <c r="R186" s="233"/>
      <c r="S186" s="232"/>
      <c r="T186" s="232"/>
      <c r="U186" s="232"/>
      <c r="V186" s="232"/>
      <c r="W186" s="232"/>
      <c r="X186" s="20" t="s">
        <v>35</v>
      </c>
      <c r="Y186" s="21" t="s">
        <v>36</v>
      </c>
      <c r="Z186" s="232"/>
      <c r="AA186" s="232"/>
      <c r="AB186" s="234" t="s">
        <v>1172</v>
      </c>
      <c r="AC186" s="232"/>
      <c r="AD186" s="232"/>
      <c r="AE186" s="232"/>
      <c r="AF186" s="232"/>
    </row>
    <row r="187" ht="15.75" customHeight="1">
      <c r="A187" s="52">
        <v>2025.0</v>
      </c>
      <c r="B187" s="228" t="s">
        <v>1168</v>
      </c>
      <c r="C187" s="11"/>
      <c r="D187" s="238" t="s">
        <v>1173</v>
      </c>
      <c r="E187" s="20" t="s">
        <v>33</v>
      </c>
      <c r="F187" s="30"/>
      <c r="G187" s="30"/>
      <c r="H187" s="30"/>
      <c r="I187" s="30"/>
      <c r="J187" s="20" t="s">
        <v>37</v>
      </c>
      <c r="K187" s="20" t="s">
        <v>38</v>
      </c>
      <c r="L187" s="20" t="s">
        <v>39</v>
      </c>
      <c r="M187" s="230"/>
      <c r="N187" s="230">
        <v>1.320746055E10</v>
      </c>
      <c r="O187" s="231">
        <v>2.451027363E9</v>
      </c>
      <c r="P187" s="20" t="s">
        <v>42</v>
      </c>
      <c r="Q187" s="232"/>
      <c r="R187" s="233"/>
      <c r="S187" s="232"/>
      <c r="T187" s="232"/>
      <c r="U187" s="232"/>
      <c r="V187" s="232"/>
      <c r="W187" s="232"/>
      <c r="X187" s="20" t="s">
        <v>35</v>
      </c>
      <c r="Y187" s="21" t="s">
        <v>36</v>
      </c>
      <c r="Z187" s="232"/>
      <c r="AA187" s="232"/>
      <c r="AB187" s="234" t="s">
        <v>1174</v>
      </c>
      <c r="AC187" s="232"/>
      <c r="AD187" s="232"/>
      <c r="AE187" s="232"/>
      <c r="AF187" s="232"/>
    </row>
    <row r="188" ht="15.75" customHeight="1">
      <c r="A188" s="52">
        <v>2025.0</v>
      </c>
      <c r="B188" s="228" t="s">
        <v>1175</v>
      </c>
      <c r="C188" s="11"/>
      <c r="D188" s="238" t="s">
        <v>1176</v>
      </c>
      <c r="E188" s="20" t="s">
        <v>33</v>
      </c>
      <c r="F188" s="30"/>
      <c r="G188" s="30"/>
      <c r="H188" s="30"/>
      <c r="I188" s="30"/>
      <c r="J188" s="20" t="s">
        <v>37</v>
      </c>
      <c r="K188" s="20" t="s">
        <v>38</v>
      </c>
      <c r="L188" s="20" t="s">
        <v>39</v>
      </c>
      <c r="M188" s="230"/>
      <c r="N188" s="230">
        <v>8.666992522E9</v>
      </c>
      <c r="O188" s="231">
        <v>2.18980736E9</v>
      </c>
      <c r="P188" s="20" t="s">
        <v>42</v>
      </c>
      <c r="Q188" s="232"/>
      <c r="R188" s="233"/>
      <c r="S188" s="232"/>
      <c r="T188" s="232"/>
      <c r="U188" s="232"/>
      <c r="V188" s="232"/>
      <c r="W188" s="232"/>
      <c r="X188" s="20" t="s">
        <v>35</v>
      </c>
      <c r="Y188" s="21" t="s">
        <v>36</v>
      </c>
      <c r="Z188" s="232"/>
      <c r="AA188" s="232"/>
      <c r="AB188" s="239">
        <v>7.1988382367E10</v>
      </c>
      <c r="AC188" s="232"/>
      <c r="AD188" s="232"/>
      <c r="AE188" s="232"/>
      <c r="AF188" s="232"/>
    </row>
    <row r="189" ht="15.75" customHeight="1">
      <c r="A189" s="52">
        <v>2025.0</v>
      </c>
      <c r="B189" s="228" t="s">
        <v>1175</v>
      </c>
      <c r="C189" s="11"/>
      <c r="D189" s="229" t="s">
        <v>1177</v>
      </c>
      <c r="E189" s="20" t="s">
        <v>33</v>
      </c>
      <c r="F189" s="30"/>
      <c r="G189" s="30"/>
      <c r="H189" s="30"/>
      <c r="I189" s="30"/>
      <c r="J189" s="20" t="s">
        <v>37</v>
      </c>
      <c r="K189" s="20" t="s">
        <v>38</v>
      </c>
      <c r="L189" s="20" t="s">
        <v>39</v>
      </c>
      <c r="M189" s="236"/>
      <c r="N189" s="236">
        <v>1.0013676504E10</v>
      </c>
      <c r="O189" s="237">
        <v>2.255014572E9</v>
      </c>
      <c r="P189" s="20" t="s">
        <v>42</v>
      </c>
      <c r="Q189" s="232"/>
      <c r="R189" s="233"/>
      <c r="S189" s="232"/>
      <c r="T189" s="232"/>
      <c r="U189" s="232"/>
      <c r="V189" s="232"/>
      <c r="W189" s="232"/>
      <c r="X189" s="20" t="s">
        <v>35</v>
      </c>
      <c r="Y189" s="21" t="s">
        <v>36</v>
      </c>
      <c r="Z189" s="232"/>
      <c r="AA189" s="232"/>
      <c r="AB189" s="234" t="s">
        <v>1178</v>
      </c>
      <c r="AC189" s="232"/>
      <c r="AD189" s="232"/>
      <c r="AE189" s="232"/>
      <c r="AF189" s="232"/>
    </row>
    <row r="190" ht="15.75" customHeight="1">
      <c r="A190" s="52">
        <v>2025.0</v>
      </c>
      <c r="B190" s="228" t="s">
        <v>1175</v>
      </c>
      <c r="C190" s="11"/>
      <c r="D190" s="229" t="s">
        <v>1179</v>
      </c>
      <c r="E190" s="20" t="s">
        <v>33</v>
      </c>
      <c r="F190" s="30"/>
      <c r="G190" s="30"/>
      <c r="H190" s="30"/>
      <c r="I190" s="30"/>
      <c r="J190" s="20" t="s">
        <v>37</v>
      </c>
      <c r="K190" s="20" t="s">
        <v>38</v>
      </c>
      <c r="L190" s="20" t="s">
        <v>39</v>
      </c>
      <c r="M190" s="236"/>
      <c r="N190" s="236">
        <v>8.077697542E9</v>
      </c>
      <c r="O190" s="237">
        <v>2.126211738E9</v>
      </c>
      <c r="P190" s="20" t="s">
        <v>42</v>
      </c>
      <c r="Q190" s="232"/>
      <c r="R190" s="233"/>
      <c r="S190" s="232"/>
      <c r="T190" s="232"/>
      <c r="U190" s="232"/>
      <c r="V190" s="232"/>
      <c r="W190" s="232"/>
      <c r="X190" s="20" t="s">
        <v>35</v>
      </c>
      <c r="Y190" s="21" t="s">
        <v>36</v>
      </c>
      <c r="Z190" s="232"/>
      <c r="AA190" s="232"/>
      <c r="AB190" s="234" t="s">
        <v>1180</v>
      </c>
      <c r="AC190" s="232"/>
      <c r="AD190" s="232"/>
      <c r="AE190" s="232"/>
      <c r="AF190" s="232"/>
    </row>
    <row r="191" ht="15.75" customHeight="1">
      <c r="A191" s="52">
        <v>2025.0</v>
      </c>
      <c r="B191" s="228" t="s">
        <v>1175</v>
      </c>
      <c r="C191" s="11"/>
      <c r="D191" s="238" t="s">
        <v>1181</v>
      </c>
      <c r="E191" s="20" t="s">
        <v>33</v>
      </c>
      <c r="F191" s="30"/>
      <c r="G191" s="30"/>
      <c r="H191" s="30"/>
      <c r="I191" s="30"/>
      <c r="J191" s="20" t="s">
        <v>37</v>
      </c>
      <c r="K191" s="20" t="s">
        <v>38</v>
      </c>
      <c r="L191" s="20" t="s">
        <v>39</v>
      </c>
      <c r="M191" s="230"/>
      <c r="N191" s="230">
        <v>1.2111456543E10</v>
      </c>
      <c r="O191" s="231">
        <v>2.264598052E9</v>
      </c>
      <c r="P191" s="20" t="s">
        <v>42</v>
      </c>
      <c r="Q191" s="232"/>
      <c r="R191" s="233"/>
      <c r="S191" s="232"/>
      <c r="T191" s="232"/>
      <c r="U191" s="232"/>
      <c r="V191" s="232"/>
      <c r="W191" s="232"/>
      <c r="X191" s="20" t="s">
        <v>35</v>
      </c>
      <c r="Y191" s="21" t="s">
        <v>36</v>
      </c>
      <c r="Z191" s="232"/>
      <c r="AA191" s="232"/>
      <c r="AB191" s="234" t="s">
        <v>1182</v>
      </c>
      <c r="AC191" s="232"/>
      <c r="AD191" s="232"/>
      <c r="AE191" s="232"/>
      <c r="AF191" s="232"/>
    </row>
    <row r="192" ht="15.75" customHeight="1">
      <c r="A192" s="52">
        <v>2025.0</v>
      </c>
      <c r="B192" s="228" t="s">
        <v>1175</v>
      </c>
      <c r="C192" s="11"/>
      <c r="D192" s="238" t="s">
        <v>1183</v>
      </c>
      <c r="E192" s="20" t="s">
        <v>33</v>
      </c>
      <c r="F192" s="30"/>
      <c r="G192" s="30"/>
      <c r="H192" s="30"/>
      <c r="I192" s="30"/>
      <c r="J192" s="20" t="s">
        <v>37</v>
      </c>
      <c r="K192" s="20" t="s">
        <v>38</v>
      </c>
      <c r="L192" s="20" t="s">
        <v>39</v>
      </c>
      <c r="M192" s="231"/>
      <c r="N192" s="231">
        <v>1.1456625527E10</v>
      </c>
      <c r="O192" s="231">
        <v>2.365086608E9</v>
      </c>
      <c r="P192" s="20" t="s">
        <v>42</v>
      </c>
      <c r="Q192" s="232"/>
      <c r="R192" s="233"/>
      <c r="S192" s="232"/>
      <c r="T192" s="232"/>
      <c r="U192" s="232"/>
      <c r="V192" s="232"/>
      <c r="W192" s="232"/>
      <c r="X192" s="20" t="s">
        <v>35</v>
      </c>
      <c r="Y192" s="21" t="s">
        <v>36</v>
      </c>
      <c r="Z192" s="232"/>
      <c r="AA192" s="232"/>
      <c r="AB192" s="234" t="s">
        <v>1184</v>
      </c>
      <c r="AC192" s="232"/>
      <c r="AD192" s="232"/>
      <c r="AE192" s="232"/>
      <c r="AF192" s="232"/>
    </row>
    <row r="193" ht="15.75" customHeight="1">
      <c r="A193" s="52">
        <v>2025.0</v>
      </c>
      <c r="B193" s="228" t="s">
        <v>1175</v>
      </c>
      <c r="C193" s="11"/>
      <c r="D193" s="234" t="s">
        <v>1185</v>
      </c>
      <c r="E193" s="20" t="s">
        <v>33</v>
      </c>
      <c r="F193" s="30"/>
      <c r="G193" s="30"/>
      <c r="H193" s="30"/>
      <c r="I193" s="30"/>
      <c r="J193" s="20" t="s">
        <v>37</v>
      </c>
      <c r="K193" s="20" t="s">
        <v>38</v>
      </c>
      <c r="L193" s="20" t="s">
        <v>39</v>
      </c>
      <c r="M193" s="231"/>
      <c r="N193" s="231">
        <v>2.246073596E9</v>
      </c>
      <c r="O193" s="231">
        <v>8.6577936528E10</v>
      </c>
      <c r="P193" s="20" t="s">
        <v>42</v>
      </c>
      <c r="Q193" s="232"/>
      <c r="R193" s="233"/>
      <c r="S193" s="232"/>
      <c r="T193" s="232"/>
      <c r="U193" s="232"/>
      <c r="V193" s="232"/>
      <c r="W193" s="232"/>
      <c r="X193" s="20" t="s">
        <v>35</v>
      </c>
      <c r="Y193" s="21" t="s">
        <v>36</v>
      </c>
      <c r="Z193" s="232"/>
      <c r="AA193" s="232"/>
      <c r="AB193" s="234" t="s">
        <v>1186</v>
      </c>
      <c r="AC193" s="232"/>
      <c r="AD193" s="232"/>
      <c r="AE193" s="232"/>
      <c r="AF193" s="232"/>
    </row>
    <row r="194" ht="15.75" customHeight="1">
      <c r="A194" s="52">
        <v>2026.0</v>
      </c>
      <c r="B194" s="240" t="s">
        <v>1175</v>
      </c>
      <c r="C194" s="241"/>
      <c r="D194" s="65" t="s">
        <v>1187</v>
      </c>
      <c r="E194" s="20" t="s">
        <v>33</v>
      </c>
      <c r="F194" s="232"/>
      <c r="G194" s="232"/>
      <c r="H194" s="232"/>
      <c r="I194" s="232"/>
      <c r="J194" s="20" t="s">
        <v>37</v>
      </c>
      <c r="K194" s="20" t="s">
        <v>38</v>
      </c>
      <c r="L194" s="20" t="s">
        <v>39</v>
      </c>
      <c r="M194" s="232"/>
      <c r="N194" s="231" t="s">
        <v>1188</v>
      </c>
      <c r="O194" s="242" t="s">
        <v>1189</v>
      </c>
      <c r="P194" s="20" t="s">
        <v>42</v>
      </c>
      <c r="Q194" s="232"/>
      <c r="R194" s="233"/>
      <c r="S194" s="232"/>
      <c r="T194" s="232"/>
      <c r="U194" s="232"/>
      <c r="V194" s="232"/>
      <c r="W194" s="232"/>
      <c r="X194" s="20" t="s">
        <v>35</v>
      </c>
      <c r="Y194" s="21" t="s">
        <v>36</v>
      </c>
      <c r="Z194" s="232"/>
      <c r="AA194" s="232"/>
      <c r="AB194" s="232"/>
      <c r="AC194" s="232"/>
      <c r="AD194" s="243" t="s">
        <v>1190</v>
      </c>
      <c r="AE194" s="232"/>
      <c r="AF194" s="232"/>
    </row>
    <row r="195" ht="15.75" customHeight="1">
      <c r="A195" s="52">
        <v>2026.0</v>
      </c>
      <c r="B195" s="240" t="s">
        <v>1175</v>
      </c>
      <c r="C195" s="241"/>
      <c r="D195" s="65" t="s">
        <v>1191</v>
      </c>
      <c r="E195" s="20" t="s">
        <v>33</v>
      </c>
      <c r="F195" s="232"/>
      <c r="G195" s="232"/>
      <c r="H195" s="232"/>
      <c r="I195" s="232"/>
      <c r="J195" s="20" t="s">
        <v>37</v>
      </c>
      <c r="K195" s="20" t="s">
        <v>38</v>
      </c>
      <c r="L195" s="20" t="s">
        <v>39</v>
      </c>
      <c r="M195" s="232"/>
      <c r="N195" s="231" t="s">
        <v>1192</v>
      </c>
      <c r="O195" s="242" t="s">
        <v>1193</v>
      </c>
      <c r="P195" s="20" t="s">
        <v>42</v>
      </c>
      <c r="Q195" s="232"/>
      <c r="R195" s="233"/>
      <c r="S195" s="232"/>
      <c r="T195" s="232"/>
      <c r="U195" s="232"/>
      <c r="V195" s="232"/>
      <c r="W195" s="232"/>
      <c r="X195" s="20" t="s">
        <v>35</v>
      </c>
      <c r="Y195" s="21" t="s">
        <v>36</v>
      </c>
      <c r="Z195" s="232"/>
      <c r="AA195" s="232"/>
      <c r="AB195" s="232"/>
      <c r="AC195" s="232"/>
      <c r="AD195" s="243" t="s">
        <v>1194</v>
      </c>
      <c r="AE195" s="232"/>
      <c r="AF195" s="232"/>
    </row>
    <row r="196" ht="15.75" customHeight="1">
      <c r="A196" s="52">
        <v>2026.0</v>
      </c>
      <c r="B196" s="240" t="s">
        <v>1175</v>
      </c>
      <c r="C196" s="241"/>
      <c r="D196" s="65" t="s">
        <v>1195</v>
      </c>
      <c r="E196" s="20" t="s">
        <v>33</v>
      </c>
      <c r="F196" s="232"/>
      <c r="G196" s="232"/>
      <c r="H196" s="232"/>
      <c r="I196" s="232"/>
      <c r="J196" s="20" t="s">
        <v>37</v>
      </c>
      <c r="K196" s="20" t="s">
        <v>38</v>
      </c>
      <c r="L196" s="20" t="s">
        <v>39</v>
      </c>
      <c r="M196" s="232"/>
      <c r="N196" s="231" t="s">
        <v>1196</v>
      </c>
      <c r="O196" s="242" t="s">
        <v>1197</v>
      </c>
      <c r="P196" s="20" t="s">
        <v>42</v>
      </c>
      <c r="Q196" s="232"/>
      <c r="R196" s="233"/>
      <c r="S196" s="232"/>
      <c r="T196" s="232"/>
      <c r="U196" s="232"/>
      <c r="V196" s="232"/>
      <c r="W196" s="232"/>
      <c r="X196" s="20" t="s">
        <v>35</v>
      </c>
      <c r="Y196" s="21" t="s">
        <v>36</v>
      </c>
      <c r="Z196" s="232"/>
      <c r="AA196" s="232"/>
      <c r="AB196" s="232"/>
      <c r="AC196" s="232"/>
      <c r="AD196" s="243" t="s">
        <v>1198</v>
      </c>
      <c r="AE196" s="232"/>
      <c r="AF196" s="232"/>
    </row>
    <row r="197" ht="15.75" customHeight="1">
      <c r="A197" s="52">
        <v>2026.0</v>
      </c>
      <c r="B197" s="240" t="s">
        <v>1175</v>
      </c>
      <c r="C197" s="241"/>
      <c r="D197" s="65" t="s">
        <v>1199</v>
      </c>
      <c r="E197" s="20" t="s">
        <v>33</v>
      </c>
      <c r="F197" s="232"/>
      <c r="G197" s="232"/>
      <c r="H197" s="232"/>
      <c r="I197" s="232"/>
      <c r="J197" s="20" t="s">
        <v>37</v>
      </c>
      <c r="K197" s="20" t="s">
        <v>38</v>
      </c>
      <c r="L197" s="20" t="s">
        <v>39</v>
      </c>
      <c r="M197" s="232"/>
      <c r="N197" s="231" t="s">
        <v>1200</v>
      </c>
      <c r="O197" s="242" t="s">
        <v>1201</v>
      </c>
      <c r="P197" s="20" t="s">
        <v>42</v>
      </c>
      <c r="Q197" s="232"/>
      <c r="R197" s="233"/>
      <c r="S197" s="232"/>
      <c r="T197" s="232"/>
      <c r="U197" s="232"/>
      <c r="V197" s="232"/>
      <c r="W197" s="232"/>
      <c r="X197" s="20" t="s">
        <v>35</v>
      </c>
      <c r="Y197" s="21" t="s">
        <v>36</v>
      </c>
      <c r="Z197" s="232"/>
      <c r="AA197" s="232"/>
      <c r="AB197" s="232"/>
      <c r="AC197" s="232"/>
      <c r="AD197" s="243" t="s">
        <v>1202</v>
      </c>
      <c r="AE197" s="232"/>
      <c r="AF197" s="232"/>
    </row>
    <row r="198" ht="15.75" customHeight="1">
      <c r="A198" s="52">
        <v>2026.0</v>
      </c>
      <c r="B198" s="240" t="s">
        <v>1175</v>
      </c>
      <c r="C198" s="241"/>
      <c r="D198" s="65" t="s">
        <v>1203</v>
      </c>
      <c r="E198" s="20" t="s">
        <v>33</v>
      </c>
      <c r="F198" s="232"/>
      <c r="G198" s="232"/>
      <c r="H198" s="232"/>
      <c r="I198" s="232"/>
      <c r="J198" s="20" t="s">
        <v>37</v>
      </c>
      <c r="K198" s="20" t="s">
        <v>38</v>
      </c>
      <c r="L198" s="20" t="s">
        <v>39</v>
      </c>
      <c r="M198" s="232"/>
      <c r="N198" s="231" t="s">
        <v>1204</v>
      </c>
      <c r="O198" s="242" t="s">
        <v>1205</v>
      </c>
      <c r="P198" s="20" t="s">
        <v>42</v>
      </c>
      <c r="Q198" s="232"/>
      <c r="R198" s="233"/>
      <c r="S198" s="232"/>
      <c r="T198" s="232"/>
      <c r="U198" s="232"/>
      <c r="V198" s="232"/>
      <c r="W198" s="232"/>
      <c r="X198" s="20" t="s">
        <v>35</v>
      </c>
      <c r="Y198" s="21" t="s">
        <v>36</v>
      </c>
      <c r="Z198" s="232"/>
      <c r="AA198" s="232"/>
      <c r="AB198" s="232"/>
      <c r="AC198" s="232"/>
      <c r="AD198" s="243" t="s">
        <v>1206</v>
      </c>
      <c r="AE198" s="232"/>
      <c r="AF198" s="232"/>
    </row>
    <row r="199" ht="15.75" customHeight="1">
      <c r="A199" s="52">
        <v>2026.0</v>
      </c>
      <c r="B199" s="240" t="s">
        <v>1145</v>
      </c>
      <c r="C199" s="241"/>
      <c r="D199" s="65" t="s">
        <v>1207</v>
      </c>
      <c r="E199" s="20" t="s">
        <v>33</v>
      </c>
      <c r="F199" s="232"/>
      <c r="G199" s="232"/>
      <c r="H199" s="232"/>
      <c r="I199" s="232"/>
      <c r="J199" s="20" t="s">
        <v>37</v>
      </c>
      <c r="K199" s="20" t="s">
        <v>38</v>
      </c>
      <c r="L199" s="20" t="s">
        <v>39</v>
      </c>
      <c r="M199" s="232"/>
      <c r="N199" s="231" t="s">
        <v>1208</v>
      </c>
      <c r="O199" s="244" t="s">
        <v>1193</v>
      </c>
      <c r="P199" s="20" t="s">
        <v>42</v>
      </c>
      <c r="Q199" s="232"/>
      <c r="R199" s="233"/>
      <c r="S199" s="232"/>
      <c r="T199" s="232"/>
      <c r="U199" s="232"/>
      <c r="V199" s="232"/>
      <c r="W199" s="232"/>
      <c r="X199" s="20" t="s">
        <v>35</v>
      </c>
      <c r="Y199" s="21" t="s">
        <v>36</v>
      </c>
      <c r="Z199" s="232"/>
      <c r="AA199" s="232"/>
      <c r="AB199" s="232"/>
      <c r="AC199" s="232"/>
      <c r="AD199" s="243" t="s">
        <v>1209</v>
      </c>
      <c r="AE199" s="232"/>
      <c r="AF199" s="232"/>
    </row>
    <row r="200" ht="15.75" customHeight="1">
      <c r="A200" s="52">
        <v>2026.0</v>
      </c>
      <c r="B200" s="240" t="s">
        <v>1145</v>
      </c>
      <c r="C200" s="241"/>
      <c r="D200" s="65" t="s">
        <v>1210</v>
      </c>
      <c r="E200" s="20" t="s">
        <v>33</v>
      </c>
      <c r="F200" s="232"/>
      <c r="G200" s="232"/>
      <c r="H200" s="232"/>
      <c r="I200" s="232"/>
      <c r="J200" s="20" t="s">
        <v>37</v>
      </c>
      <c r="K200" s="20" t="s">
        <v>38</v>
      </c>
      <c r="L200" s="20" t="s">
        <v>39</v>
      </c>
      <c r="M200" s="232"/>
      <c r="N200" s="231" t="s">
        <v>1211</v>
      </c>
      <c r="O200" s="242">
        <v>2.199402401E9</v>
      </c>
      <c r="P200" s="20" t="s">
        <v>42</v>
      </c>
      <c r="Q200" s="232"/>
      <c r="R200" s="233"/>
      <c r="S200" s="232"/>
      <c r="T200" s="232"/>
      <c r="U200" s="232"/>
      <c r="V200" s="232"/>
      <c r="W200" s="232"/>
      <c r="X200" s="20" t="s">
        <v>35</v>
      </c>
      <c r="Y200" s="21" t="s">
        <v>36</v>
      </c>
      <c r="Z200" s="232"/>
      <c r="AA200" s="232"/>
      <c r="AB200" s="232"/>
      <c r="AC200" s="232"/>
      <c r="AD200" s="243" t="s">
        <v>1212</v>
      </c>
      <c r="AE200" s="232"/>
      <c r="AF200" s="232"/>
    </row>
    <row r="201" ht="15.75" customHeight="1">
      <c r="A201" s="52">
        <v>2026.0</v>
      </c>
      <c r="B201" s="240" t="s">
        <v>1145</v>
      </c>
      <c r="C201" s="241"/>
      <c r="D201" s="65" t="s">
        <v>1213</v>
      </c>
      <c r="E201" s="20" t="s">
        <v>33</v>
      </c>
      <c r="F201" s="232"/>
      <c r="G201" s="232"/>
      <c r="H201" s="232"/>
      <c r="I201" s="232"/>
      <c r="J201" s="20" t="s">
        <v>37</v>
      </c>
      <c r="K201" s="20" t="s">
        <v>38</v>
      </c>
      <c r="L201" s="20" t="s">
        <v>39</v>
      </c>
      <c r="M201" s="232"/>
      <c r="N201" s="231" t="s">
        <v>1214</v>
      </c>
      <c r="O201" s="245"/>
      <c r="P201" s="20" t="s">
        <v>42</v>
      </c>
      <c r="Q201" s="232"/>
      <c r="R201" s="233"/>
      <c r="S201" s="232"/>
      <c r="T201" s="232"/>
      <c r="U201" s="232"/>
      <c r="V201" s="232"/>
      <c r="W201" s="232"/>
      <c r="X201" s="20" t="s">
        <v>35</v>
      </c>
      <c r="Y201" s="21" t="s">
        <v>36</v>
      </c>
      <c r="Z201" s="232"/>
      <c r="AA201" s="232"/>
      <c r="AB201" s="232"/>
      <c r="AC201" s="232"/>
      <c r="AD201" s="243" t="s">
        <v>1215</v>
      </c>
      <c r="AE201" s="232"/>
      <c r="AF201" s="232"/>
    </row>
    <row r="202" ht="15.75" customHeight="1">
      <c r="A202" s="52">
        <v>2026.0</v>
      </c>
      <c r="B202" s="240" t="s">
        <v>1145</v>
      </c>
      <c r="C202" s="241"/>
      <c r="D202" s="65" t="s">
        <v>1216</v>
      </c>
      <c r="E202" s="20" t="s">
        <v>33</v>
      </c>
      <c r="F202" s="232"/>
      <c r="G202" s="232"/>
      <c r="H202" s="232"/>
      <c r="I202" s="232"/>
      <c r="J202" s="20" t="s">
        <v>37</v>
      </c>
      <c r="K202" s="20" t="s">
        <v>38</v>
      </c>
      <c r="L202" s="20" t="s">
        <v>39</v>
      </c>
      <c r="M202" s="232"/>
      <c r="N202" s="231" t="s">
        <v>1217</v>
      </c>
      <c r="O202" s="245"/>
      <c r="P202" s="20" t="s">
        <v>42</v>
      </c>
      <c r="Q202" s="232"/>
      <c r="R202" s="233"/>
      <c r="S202" s="232"/>
      <c r="T202" s="232"/>
      <c r="U202" s="232"/>
      <c r="V202" s="232"/>
      <c r="W202" s="232"/>
      <c r="X202" s="20" t="s">
        <v>35</v>
      </c>
      <c r="Y202" s="21" t="s">
        <v>36</v>
      </c>
      <c r="Z202" s="232"/>
      <c r="AA202" s="232"/>
      <c r="AB202" s="232"/>
      <c r="AC202" s="232"/>
      <c r="AD202" s="243" t="s">
        <v>1218</v>
      </c>
      <c r="AE202" s="232"/>
      <c r="AF202" s="232"/>
    </row>
    <row r="203" ht="15.75" customHeight="1">
      <c r="A203" s="52">
        <v>2026.0</v>
      </c>
      <c r="B203" s="240" t="s">
        <v>1219</v>
      </c>
      <c r="C203" s="241"/>
      <c r="D203" s="65" t="s">
        <v>1220</v>
      </c>
      <c r="E203" s="20" t="s">
        <v>33</v>
      </c>
      <c r="F203" s="232"/>
      <c r="G203" s="232"/>
      <c r="H203" s="232"/>
      <c r="I203" s="232"/>
      <c r="J203" s="20" t="s">
        <v>37</v>
      </c>
      <c r="K203" s="20" t="s">
        <v>38</v>
      </c>
      <c r="L203" s="20" t="s">
        <v>39</v>
      </c>
      <c r="M203" s="232"/>
      <c r="N203" s="231" t="s">
        <v>1221</v>
      </c>
      <c r="O203" s="244">
        <v>2.392446997E9</v>
      </c>
      <c r="P203" s="20" t="s">
        <v>42</v>
      </c>
      <c r="Q203" s="232"/>
      <c r="R203" s="233"/>
      <c r="S203" s="232"/>
      <c r="T203" s="232"/>
      <c r="U203" s="232"/>
      <c r="V203" s="232"/>
      <c r="W203" s="232"/>
      <c r="X203" s="20" t="s">
        <v>35</v>
      </c>
      <c r="Y203" s="21" t="s">
        <v>36</v>
      </c>
      <c r="Z203" s="232"/>
      <c r="AA203" s="232"/>
      <c r="AB203" s="232"/>
      <c r="AC203" s="232"/>
      <c r="AD203" s="243" t="s">
        <v>1222</v>
      </c>
      <c r="AE203" s="232"/>
      <c r="AF203" s="232"/>
    </row>
    <row r="204" ht="15.75" customHeight="1">
      <c r="A204" s="52">
        <v>2026.0</v>
      </c>
      <c r="B204" s="240" t="s">
        <v>1219</v>
      </c>
      <c r="C204" s="241"/>
      <c r="D204" s="65" t="s">
        <v>1223</v>
      </c>
      <c r="E204" s="20" t="s">
        <v>33</v>
      </c>
      <c r="F204" s="232"/>
      <c r="G204" s="232"/>
      <c r="H204" s="232"/>
      <c r="I204" s="232"/>
      <c r="J204" s="20" t="s">
        <v>37</v>
      </c>
      <c r="K204" s="20" t="s">
        <v>38</v>
      </c>
      <c r="L204" s="20" t="s">
        <v>39</v>
      </c>
      <c r="M204" s="232"/>
      <c r="N204" s="231" t="s">
        <v>1224</v>
      </c>
      <c r="O204" s="242" t="s">
        <v>1193</v>
      </c>
      <c r="P204" s="20" t="s">
        <v>42</v>
      </c>
      <c r="Q204" s="232"/>
      <c r="R204" s="233"/>
      <c r="S204" s="232"/>
      <c r="T204" s="232"/>
      <c r="U204" s="232"/>
      <c r="V204" s="232"/>
      <c r="W204" s="232"/>
      <c r="X204" s="20" t="s">
        <v>35</v>
      </c>
      <c r="Y204" s="21" t="s">
        <v>36</v>
      </c>
      <c r="Z204" s="232"/>
      <c r="AA204" s="232"/>
      <c r="AB204" s="232"/>
      <c r="AC204" s="232"/>
      <c r="AD204" s="243" t="s">
        <v>1225</v>
      </c>
      <c r="AE204" s="232"/>
      <c r="AF204" s="232"/>
    </row>
    <row r="205" ht="15.75" customHeight="1">
      <c r="A205" s="52">
        <v>2026.0</v>
      </c>
      <c r="B205" s="240" t="s">
        <v>1219</v>
      </c>
      <c r="C205" s="241"/>
      <c r="D205" s="65" t="s">
        <v>1226</v>
      </c>
      <c r="E205" s="20" t="s">
        <v>33</v>
      </c>
      <c r="F205" s="232"/>
      <c r="G205" s="232"/>
      <c r="H205" s="232"/>
      <c r="I205" s="232"/>
      <c r="J205" s="20" t="s">
        <v>37</v>
      </c>
      <c r="K205" s="20" t="s">
        <v>38</v>
      </c>
      <c r="L205" s="20" t="s">
        <v>39</v>
      </c>
      <c r="M205" s="232"/>
      <c r="N205" s="231" t="s">
        <v>1227</v>
      </c>
      <c r="O205" s="242">
        <v>4.60759752E9</v>
      </c>
      <c r="P205" s="20" t="s">
        <v>42</v>
      </c>
      <c r="Q205" s="232"/>
      <c r="R205" s="233"/>
      <c r="S205" s="232"/>
      <c r="T205" s="232"/>
      <c r="U205" s="232"/>
      <c r="V205" s="232"/>
      <c r="W205" s="232"/>
      <c r="X205" s="20" t="s">
        <v>35</v>
      </c>
      <c r="Y205" s="21" t="s">
        <v>36</v>
      </c>
      <c r="Z205" s="232"/>
      <c r="AA205" s="232"/>
      <c r="AB205" s="232"/>
      <c r="AC205" s="232"/>
      <c r="AD205" s="243" t="s">
        <v>1228</v>
      </c>
      <c r="AE205" s="232"/>
      <c r="AF205" s="232"/>
    </row>
    <row r="206" ht="15.75" customHeight="1">
      <c r="A206" s="52">
        <v>2026.0</v>
      </c>
      <c r="B206" s="240" t="s">
        <v>1219</v>
      </c>
      <c r="C206" s="241"/>
      <c r="D206" s="65" t="s">
        <v>1229</v>
      </c>
      <c r="E206" s="20" t="s">
        <v>33</v>
      </c>
      <c r="F206" s="232"/>
      <c r="G206" s="232"/>
      <c r="H206" s="232"/>
      <c r="I206" s="232"/>
      <c r="J206" s="20" t="s">
        <v>37</v>
      </c>
      <c r="K206" s="20" t="s">
        <v>38</v>
      </c>
      <c r="L206" s="20" t="s">
        <v>39</v>
      </c>
      <c r="M206" s="232"/>
      <c r="N206" s="231" t="s">
        <v>1230</v>
      </c>
      <c r="O206" s="242">
        <v>4.035704E7</v>
      </c>
      <c r="P206" s="20" t="s">
        <v>42</v>
      </c>
      <c r="Q206" s="232"/>
      <c r="R206" s="233"/>
      <c r="S206" s="232"/>
      <c r="T206" s="232"/>
      <c r="U206" s="232"/>
      <c r="V206" s="232"/>
      <c r="W206" s="232"/>
      <c r="X206" s="20" t="s">
        <v>35</v>
      </c>
      <c r="Y206" s="21" t="s">
        <v>36</v>
      </c>
      <c r="Z206" s="232"/>
      <c r="AA206" s="232"/>
      <c r="AB206" s="232"/>
      <c r="AC206" s="232"/>
      <c r="AD206" s="243" t="s">
        <v>1231</v>
      </c>
      <c r="AE206" s="232"/>
      <c r="AF206" s="232"/>
    </row>
    <row r="207" ht="15.75" customHeight="1">
      <c r="A207" s="52">
        <v>2026.0</v>
      </c>
      <c r="B207" s="246" t="s">
        <v>1219</v>
      </c>
      <c r="C207" s="241"/>
      <c r="D207" s="65" t="s">
        <v>1232</v>
      </c>
      <c r="E207" s="20" t="s">
        <v>33</v>
      </c>
      <c r="F207" s="232"/>
      <c r="G207" s="232"/>
      <c r="H207" s="232"/>
      <c r="I207" s="232"/>
      <c r="J207" s="20" t="s">
        <v>37</v>
      </c>
      <c r="K207" s="20" t="s">
        <v>38</v>
      </c>
      <c r="L207" s="20" t="s">
        <v>39</v>
      </c>
      <c r="M207" s="232"/>
      <c r="N207" s="231" t="s">
        <v>1233</v>
      </c>
      <c r="O207" s="247" t="s">
        <v>1193</v>
      </c>
      <c r="P207" s="20" t="s">
        <v>42</v>
      </c>
      <c r="Q207" s="232"/>
      <c r="R207" s="233"/>
      <c r="S207" s="232"/>
      <c r="T207" s="232"/>
      <c r="U207" s="232"/>
      <c r="V207" s="232"/>
      <c r="W207" s="232"/>
      <c r="X207" s="20" t="s">
        <v>35</v>
      </c>
      <c r="Y207" s="21" t="s">
        <v>36</v>
      </c>
      <c r="Z207" s="232"/>
      <c r="AA207" s="232"/>
      <c r="AB207" s="232"/>
      <c r="AC207" s="232"/>
      <c r="AD207" s="248" t="s">
        <v>1234</v>
      </c>
      <c r="AE207" s="232"/>
      <c r="AF207" s="232"/>
    </row>
    <row r="208" ht="15.75" customHeight="1">
      <c r="A208" s="52">
        <v>2026.0</v>
      </c>
      <c r="B208" s="240" t="s">
        <v>1168</v>
      </c>
      <c r="C208" s="241"/>
      <c r="D208" s="65" t="s">
        <v>1235</v>
      </c>
      <c r="E208" s="20" t="s">
        <v>33</v>
      </c>
      <c r="F208" s="232"/>
      <c r="G208" s="232"/>
      <c r="H208" s="232"/>
      <c r="I208" s="232"/>
      <c r="J208" s="20" t="s">
        <v>37</v>
      </c>
      <c r="K208" s="20" t="s">
        <v>38</v>
      </c>
      <c r="L208" s="20" t="s">
        <v>39</v>
      </c>
      <c r="M208" s="232"/>
      <c r="N208" s="231" t="s">
        <v>1236</v>
      </c>
      <c r="O208" s="242" t="s">
        <v>1237</v>
      </c>
      <c r="P208" s="20" t="s">
        <v>42</v>
      </c>
      <c r="Q208" s="232"/>
      <c r="R208" s="233"/>
      <c r="S208" s="232"/>
      <c r="T208" s="232"/>
      <c r="U208" s="232"/>
      <c r="V208" s="232"/>
      <c r="W208" s="232"/>
      <c r="X208" s="20" t="s">
        <v>35</v>
      </c>
      <c r="Y208" s="21" t="s">
        <v>36</v>
      </c>
      <c r="Z208" s="232"/>
      <c r="AA208" s="232"/>
      <c r="AB208" s="232"/>
      <c r="AC208" s="232"/>
      <c r="AD208" s="243" t="s">
        <v>1238</v>
      </c>
      <c r="AE208" s="232"/>
      <c r="AF208" s="232"/>
    </row>
    <row r="209" ht="15.75" customHeight="1">
      <c r="A209" s="52">
        <v>2026.0</v>
      </c>
      <c r="B209" s="240" t="s">
        <v>1168</v>
      </c>
      <c r="C209" s="241"/>
      <c r="D209" s="65" t="s">
        <v>1239</v>
      </c>
      <c r="E209" s="20" t="s">
        <v>33</v>
      </c>
      <c r="F209" s="232"/>
      <c r="G209" s="232"/>
      <c r="H209" s="232"/>
      <c r="I209" s="232"/>
      <c r="J209" s="20" t="s">
        <v>37</v>
      </c>
      <c r="K209" s="20" t="s">
        <v>38</v>
      </c>
      <c r="L209" s="20" t="s">
        <v>39</v>
      </c>
      <c r="M209" s="232"/>
      <c r="N209" s="231" t="s">
        <v>1240</v>
      </c>
      <c r="O209" s="242" t="s">
        <v>1241</v>
      </c>
      <c r="P209" s="20" t="s">
        <v>42</v>
      </c>
      <c r="Q209" s="232"/>
      <c r="R209" s="233"/>
      <c r="S209" s="232"/>
      <c r="T209" s="232"/>
      <c r="U209" s="232"/>
      <c r="V209" s="232"/>
      <c r="W209" s="232"/>
      <c r="X209" s="20" t="s">
        <v>35</v>
      </c>
      <c r="Y209" s="21" t="s">
        <v>36</v>
      </c>
      <c r="Z209" s="232"/>
      <c r="AA209" s="232"/>
      <c r="AB209" s="232"/>
      <c r="AC209" s="232"/>
      <c r="AD209" s="243" t="s">
        <v>1242</v>
      </c>
      <c r="AE209" s="232"/>
      <c r="AF209" s="232"/>
    </row>
    <row r="210" ht="15.75" customHeight="1">
      <c r="A210" s="52">
        <v>2026.0</v>
      </c>
      <c r="B210" s="240" t="s">
        <v>1168</v>
      </c>
      <c r="C210" s="241"/>
      <c r="D210" s="65" t="s">
        <v>1243</v>
      </c>
      <c r="E210" s="20" t="s">
        <v>33</v>
      </c>
      <c r="F210" s="232"/>
      <c r="G210" s="232"/>
      <c r="H210" s="232"/>
      <c r="I210" s="232"/>
      <c r="J210" s="20" t="s">
        <v>37</v>
      </c>
      <c r="K210" s="20" t="s">
        <v>38</v>
      </c>
      <c r="L210" s="20" t="s">
        <v>39</v>
      </c>
      <c r="M210" s="232"/>
      <c r="N210" s="231" t="s">
        <v>1244</v>
      </c>
      <c r="O210" s="242" t="s">
        <v>1245</v>
      </c>
      <c r="P210" s="20" t="s">
        <v>42</v>
      </c>
      <c r="Q210" s="232"/>
      <c r="R210" s="233"/>
      <c r="S210" s="232"/>
      <c r="T210" s="232"/>
      <c r="U210" s="232"/>
      <c r="V210" s="232"/>
      <c r="W210" s="232"/>
      <c r="X210" s="20" t="s">
        <v>35</v>
      </c>
      <c r="Y210" s="21" t="s">
        <v>36</v>
      </c>
      <c r="Z210" s="232"/>
      <c r="AA210" s="232"/>
      <c r="AB210" s="232"/>
      <c r="AC210" s="232"/>
      <c r="AD210" s="243" t="s">
        <v>1246</v>
      </c>
      <c r="AE210" s="232"/>
      <c r="AF210" s="232"/>
    </row>
    <row r="211" ht="15.75" customHeight="1">
      <c r="A211" s="52">
        <v>2026.0</v>
      </c>
      <c r="B211" s="246" t="s">
        <v>1168</v>
      </c>
      <c r="C211" s="241"/>
      <c r="D211" s="65" t="s">
        <v>1247</v>
      </c>
      <c r="E211" s="20" t="s">
        <v>33</v>
      </c>
      <c r="F211" s="232"/>
      <c r="G211" s="232"/>
      <c r="H211" s="232"/>
      <c r="I211" s="232"/>
      <c r="J211" s="20" t="s">
        <v>37</v>
      </c>
      <c r="K211" s="20" t="s">
        <v>38</v>
      </c>
      <c r="L211" s="20" t="s">
        <v>39</v>
      </c>
      <c r="M211" s="232"/>
      <c r="N211" s="231" t="s">
        <v>1248</v>
      </c>
      <c r="O211" s="249" t="s">
        <v>1248</v>
      </c>
      <c r="P211" s="20" t="s">
        <v>42</v>
      </c>
      <c r="Q211" s="232"/>
      <c r="R211" s="233"/>
      <c r="S211" s="232"/>
      <c r="T211" s="232"/>
      <c r="U211" s="232"/>
      <c r="V211" s="232"/>
      <c r="W211" s="232"/>
      <c r="X211" s="20" t="s">
        <v>35</v>
      </c>
      <c r="Y211" s="21" t="s">
        <v>36</v>
      </c>
      <c r="Z211" s="232"/>
      <c r="AA211" s="232"/>
      <c r="AB211" s="232"/>
      <c r="AC211" s="232"/>
      <c r="AD211" s="248" t="s">
        <v>1249</v>
      </c>
      <c r="AE211" s="232"/>
      <c r="AF211" s="232"/>
    </row>
    <row r="212" ht="15.75" customHeight="1">
      <c r="A212" s="52">
        <v>2026.0</v>
      </c>
      <c r="B212" s="240" t="s">
        <v>1168</v>
      </c>
      <c r="C212" s="241"/>
      <c r="D212" s="65" t="s">
        <v>1250</v>
      </c>
      <c r="E212" s="20" t="s">
        <v>33</v>
      </c>
      <c r="F212" s="232"/>
      <c r="G212" s="232"/>
      <c r="H212" s="232"/>
      <c r="I212" s="232"/>
      <c r="J212" s="20" t="s">
        <v>37</v>
      </c>
      <c r="K212" s="20" t="s">
        <v>38</v>
      </c>
      <c r="L212" s="20" t="s">
        <v>39</v>
      </c>
      <c r="M212" s="232"/>
      <c r="N212" s="231" t="s">
        <v>1251</v>
      </c>
      <c r="O212" s="250" t="s">
        <v>1252</v>
      </c>
      <c r="P212" s="20" t="s">
        <v>42</v>
      </c>
      <c r="Q212" s="232"/>
      <c r="R212" s="233"/>
      <c r="S212" s="232"/>
      <c r="T212" s="232"/>
      <c r="U212" s="232"/>
      <c r="V212" s="232"/>
      <c r="W212" s="232"/>
      <c r="X212" s="20" t="s">
        <v>35</v>
      </c>
      <c r="Y212" s="21" t="s">
        <v>36</v>
      </c>
      <c r="Z212" s="232"/>
      <c r="AA212" s="232"/>
      <c r="AB212" s="232"/>
      <c r="AC212" s="232"/>
      <c r="AD212" s="243" t="s">
        <v>1253</v>
      </c>
      <c r="AE212" s="232"/>
      <c r="AF212" s="232"/>
    </row>
    <row r="213" ht="15.75" customHeight="1">
      <c r="A213" s="52">
        <v>2026.0</v>
      </c>
      <c r="B213" s="240" t="s">
        <v>1254</v>
      </c>
      <c r="C213" s="241"/>
      <c r="D213" s="65" t="s">
        <v>1255</v>
      </c>
      <c r="E213" s="20" t="s">
        <v>33</v>
      </c>
      <c r="F213" s="232"/>
      <c r="G213" s="232"/>
      <c r="H213" s="232"/>
      <c r="I213" s="232"/>
      <c r="J213" s="20" t="s">
        <v>37</v>
      </c>
      <c r="K213" s="20" t="s">
        <v>38</v>
      </c>
      <c r="L213" s="20" t="s">
        <v>39</v>
      </c>
      <c r="M213" s="232"/>
      <c r="N213" s="231" t="s">
        <v>1256</v>
      </c>
      <c r="O213" s="237" t="s">
        <v>1256</v>
      </c>
      <c r="P213" s="20" t="s">
        <v>42</v>
      </c>
      <c r="Q213" s="232"/>
      <c r="R213" s="233"/>
      <c r="S213" s="232"/>
      <c r="T213" s="232"/>
      <c r="U213" s="232"/>
      <c r="V213" s="232"/>
      <c r="W213" s="232"/>
      <c r="X213" s="20" t="s">
        <v>35</v>
      </c>
      <c r="Y213" s="21" t="s">
        <v>36</v>
      </c>
      <c r="Z213" s="232"/>
      <c r="AA213" s="232"/>
      <c r="AB213" s="232"/>
      <c r="AC213" s="232"/>
      <c r="AD213" s="243" t="s">
        <v>1257</v>
      </c>
      <c r="AE213" s="232"/>
      <c r="AF213" s="232"/>
    </row>
    <row r="214" ht="15.75" customHeight="1">
      <c r="C214" s="241"/>
      <c r="D214" s="232"/>
      <c r="E214" s="251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3"/>
      <c r="S214" s="232"/>
      <c r="T214" s="232"/>
      <c r="U214" s="232"/>
      <c r="V214" s="232"/>
      <c r="W214" s="232"/>
      <c r="X214" s="232"/>
      <c r="Y214" s="251"/>
      <c r="Z214" s="232"/>
      <c r="AA214" s="232"/>
      <c r="AB214" s="232"/>
      <c r="AC214" s="232"/>
      <c r="AD214" s="232"/>
      <c r="AE214" s="232"/>
      <c r="AF214" s="232"/>
    </row>
    <row r="215" ht="15.75" customHeight="1">
      <c r="C215" s="241"/>
      <c r="D215" s="232"/>
      <c r="E215" s="251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3"/>
      <c r="S215" s="232"/>
      <c r="T215" s="232"/>
      <c r="U215" s="232"/>
      <c r="V215" s="232"/>
      <c r="W215" s="232"/>
      <c r="X215" s="232"/>
      <c r="Y215" s="251"/>
      <c r="Z215" s="232"/>
      <c r="AA215" s="232"/>
      <c r="AB215" s="232"/>
      <c r="AC215" s="232"/>
      <c r="AD215" s="232"/>
      <c r="AE215" s="232"/>
      <c r="AF215" s="232"/>
    </row>
    <row r="216" ht="15.75" customHeight="1">
      <c r="C216" s="241"/>
      <c r="D216" s="232"/>
      <c r="E216" s="251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3"/>
      <c r="S216" s="232"/>
      <c r="T216" s="232"/>
      <c r="U216" s="232"/>
      <c r="V216" s="232"/>
      <c r="W216" s="232"/>
      <c r="X216" s="232"/>
      <c r="Y216" s="251"/>
      <c r="Z216" s="232"/>
      <c r="AA216" s="232"/>
      <c r="AB216" s="232"/>
      <c r="AC216" s="232"/>
      <c r="AD216" s="232"/>
      <c r="AE216" s="232"/>
      <c r="AF216" s="232"/>
    </row>
    <row r="217" ht="15.75" customHeight="1">
      <c r="C217" s="241"/>
      <c r="D217" s="232"/>
      <c r="E217" s="251"/>
      <c r="F217" s="232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3"/>
      <c r="S217" s="232"/>
      <c r="T217" s="232"/>
      <c r="U217" s="232"/>
      <c r="V217" s="232"/>
      <c r="W217" s="232"/>
      <c r="X217" s="232"/>
      <c r="Y217" s="251"/>
      <c r="Z217" s="232"/>
      <c r="AA217" s="232"/>
      <c r="AB217" s="232"/>
      <c r="AC217" s="232"/>
      <c r="AD217" s="232"/>
      <c r="AE217" s="232"/>
      <c r="AF217" s="232"/>
    </row>
    <row r="218" ht="15.75" customHeight="1">
      <c r="C218" s="241"/>
      <c r="D218" s="232"/>
      <c r="E218" s="251"/>
      <c r="F218" s="232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3"/>
      <c r="S218" s="232"/>
      <c r="T218" s="232"/>
      <c r="U218" s="232"/>
      <c r="V218" s="232"/>
      <c r="W218" s="232"/>
      <c r="X218" s="232"/>
      <c r="Y218" s="251"/>
      <c r="Z218" s="232"/>
      <c r="AA218" s="232"/>
      <c r="AB218" s="232"/>
      <c r="AC218" s="232"/>
      <c r="AD218" s="232"/>
      <c r="AE218" s="232"/>
      <c r="AF218" s="232"/>
    </row>
    <row r="219" ht="15.75" customHeight="1">
      <c r="C219" s="241"/>
      <c r="D219" s="232"/>
      <c r="E219" s="251"/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3"/>
      <c r="S219" s="232"/>
      <c r="T219" s="232"/>
      <c r="U219" s="232"/>
      <c r="V219" s="232"/>
      <c r="W219" s="232"/>
      <c r="X219" s="232"/>
      <c r="Y219" s="251"/>
      <c r="Z219" s="232"/>
      <c r="AA219" s="232"/>
      <c r="AB219" s="232"/>
      <c r="AC219" s="232"/>
      <c r="AD219" s="232"/>
      <c r="AE219" s="232"/>
      <c r="AF219" s="232"/>
    </row>
    <row r="220" ht="15.75" customHeight="1">
      <c r="C220" s="241"/>
      <c r="D220" s="232"/>
      <c r="E220" s="251"/>
      <c r="F220" s="232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3"/>
      <c r="S220" s="232"/>
      <c r="T220" s="232"/>
      <c r="U220" s="232"/>
      <c r="V220" s="232"/>
      <c r="W220" s="232"/>
      <c r="X220" s="232"/>
      <c r="Y220" s="251"/>
      <c r="Z220" s="232"/>
      <c r="AA220" s="232"/>
      <c r="AB220" s="232"/>
      <c r="AC220" s="232"/>
      <c r="AD220" s="232"/>
      <c r="AE220" s="232"/>
      <c r="AF220" s="232"/>
    </row>
    <row r="221" ht="15.75" customHeight="1">
      <c r="C221" s="241"/>
      <c r="D221" s="232"/>
      <c r="E221" s="251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3"/>
      <c r="S221" s="232"/>
      <c r="T221" s="232"/>
      <c r="U221" s="232"/>
      <c r="V221" s="232"/>
      <c r="W221" s="232"/>
      <c r="X221" s="232"/>
      <c r="Y221" s="251"/>
      <c r="Z221" s="232"/>
      <c r="AA221" s="232"/>
      <c r="AB221" s="232"/>
      <c r="AC221" s="232"/>
      <c r="AD221" s="232"/>
      <c r="AE221" s="232"/>
      <c r="AF221" s="232"/>
    </row>
    <row r="222" ht="15.75" customHeight="1">
      <c r="C222" s="241"/>
      <c r="D222" s="232"/>
      <c r="E222" s="251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3"/>
      <c r="S222" s="232"/>
      <c r="T222" s="232"/>
      <c r="U222" s="232"/>
      <c r="V222" s="232"/>
      <c r="W222" s="232"/>
      <c r="X222" s="232"/>
      <c r="Y222" s="251"/>
      <c r="Z222" s="232"/>
      <c r="AA222" s="232"/>
      <c r="AB222" s="232"/>
      <c r="AC222" s="232"/>
      <c r="AD222" s="232"/>
      <c r="AE222" s="232"/>
      <c r="AF222" s="232"/>
    </row>
    <row r="223" ht="15.75" customHeight="1">
      <c r="C223" s="241"/>
      <c r="D223" s="232"/>
      <c r="E223" s="251"/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3"/>
      <c r="S223" s="232"/>
      <c r="T223" s="232"/>
      <c r="U223" s="232"/>
      <c r="V223" s="232"/>
      <c r="W223" s="232"/>
      <c r="X223" s="232"/>
      <c r="Y223" s="251"/>
      <c r="Z223" s="232"/>
      <c r="AA223" s="232"/>
      <c r="AB223" s="232"/>
      <c r="AC223" s="232"/>
      <c r="AD223" s="232"/>
      <c r="AE223" s="232"/>
      <c r="AF223" s="232"/>
    </row>
    <row r="224" ht="15.75" customHeight="1">
      <c r="C224" s="241"/>
      <c r="D224" s="232"/>
      <c r="E224" s="251"/>
      <c r="F224" s="232"/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3"/>
      <c r="S224" s="232"/>
      <c r="T224" s="232"/>
      <c r="U224" s="232"/>
      <c r="V224" s="232"/>
      <c r="W224" s="232"/>
      <c r="X224" s="232"/>
      <c r="Y224" s="251"/>
      <c r="Z224" s="232"/>
      <c r="AA224" s="232"/>
      <c r="AB224" s="232"/>
      <c r="AC224" s="232"/>
      <c r="AD224" s="232"/>
      <c r="AE224" s="232"/>
      <c r="AF224" s="232"/>
    </row>
    <row r="225" ht="15.75" customHeight="1">
      <c r="C225" s="241"/>
      <c r="D225" s="232"/>
      <c r="E225" s="251"/>
      <c r="F225" s="232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3"/>
      <c r="S225" s="232"/>
      <c r="T225" s="232"/>
      <c r="U225" s="232"/>
      <c r="V225" s="232"/>
      <c r="W225" s="232"/>
      <c r="X225" s="232"/>
      <c r="Y225" s="251"/>
      <c r="Z225" s="232"/>
      <c r="AA225" s="232"/>
      <c r="AB225" s="232"/>
      <c r="AC225" s="232"/>
      <c r="AD225" s="232"/>
      <c r="AE225" s="232"/>
      <c r="AF225" s="232"/>
    </row>
    <row r="226" ht="15.75" customHeight="1">
      <c r="C226" s="241"/>
      <c r="D226" s="232"/>
      <c r="E226" s="251"/>
      <c r="F226" s="232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3"/>
      <c r="S226" s="232"/>
      <c r="T226" s="232"/>
      <c r="U226" s="232"/>
      <c r="V226" s="232"/>
      <c r="W226" s="232"/>
      <c r="X226" s="232"/>
      <c r="Y226" s="251"/>
      <c r="Z226" s="232"/>
      <c r="AA226" s="232"/>
      <c r="AB226" s="232"/>
      <c r="AC226" s="232"/>
      <c r="AD226" s="232"/>
      <c r="AE226" s="232"/>
      <c r="AF226" s="232"/>
    </row>
    <row r="227" ht="15.75" customHeight="1">
      <c r="C227" s="241"/>
      <c r="D227" s="232"/>
      <c r="E227" s="251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3"/>
      <c r="S227" s="232"/>
      <c r="T227" s="232"/>
      <c r="U227" s="232"/>
      <c r="V227" s="232"/>
      <c r="W227" s="232"/>
      <c r="X227" s="232"/>
      <c r="Y227" s="251"/>
      <c r="Z227" s="232"/>
      <c r="AA227" s="232"/>
      <c r="AB227" s="232"/>
      <c r="AC227" s="232"/>
      <c r="AD227" s="232"/>
      <c r="AE227" s="232"/>
      <c r="AF227" s="232"/>
    </row>
    <row r="228" ht="15.75" customHeight="1">
      <c r="C228" s="241"/>
      <c r="D228" s="232"/>
      <c r="E228" s="251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3"/>
      <c r="S228" s="232"/>
      <c r="T228" s="232"/>
      <c r="U228" s="232"/>
      <c r="V228" s="232"/>
      <c r="W228" s="232"/>
      <c r="X228" s="232"/>
      <c r="Y228" s="251"/>
      <c r="Z228" s="232"/>
      <c r="AA228" s="232"/>
      <c r="AB228" s="232"/>
      <c r="AC228" s="232"/>
      <c r="AD228" s="232"/>
      <c r="AE228" s="232"/>
      <c r="AF228" s="232"/>
    </row>
    <row r="229" ht="15.75" customHeight="1">
      <c r="C229" s="241"/>
      <c r="D229" s="232"/>
      <c r="E229" s="251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3"/>
      <c r="S229" s="232"/>
      <c r="T229" s="232"/>
      <c r="U229" s="232"/>
      <c r="V229" s="232"/>
      <c r="W229" s="232"/>
      <c r="X229" s="232"/>
      <c r="Y229" s="251"/>
      <c r="Z229" s="232"/>
      <c r="AA229" s="232"/>
      <c r="AB229" s="232"/>
      <c r="AC229" s="232"/>
      <c r="AD229" s="232"/>
      <c r="AE229" s="232"/>
      <c r="AF229" s="232"/>
    </row>
    <row r="230" ht="15.75" customHeight="1">
      <c r="C230" s="241"/>
      <c r="D230" s="232"/>
      <c r="E230" s="251"/>
      <c r="F230" s="232"/>
      <c r="G230" s="232"/>
      <c r="H230" s="232"/>
      <c r="I230" s="232"/>
      <c r="J230" s="232"/>
      <c r="K230" s="232"/>
      <c r="L230" s="232"/>
      <c r="O230" s="232"/>
      <c r="P230" s="232"/>
      <c r="Q230" s="232"/>
      <c r="R230" s="233"/>
      <c r="S230" s="232"/>
      <c r="T230" s="232"/>
      <c r="U230" s="232"/>
      <c r="V230" s="232"/>
      <c r="W230" s="232"/>
      <c r="X230" s="232"/>
      <c r="Y230" s="251"/>
      <c r="Z230" s="232"/>
      <c r="AA230" s="232"/>
      <c r="AB230" s="232"/>
      <c r="AC230" s="232"/>
      <c r="AD230" s="232"/>
      <c r="AE230" s="232"/>
      <c r="AF230" s="232"/>
    </row>
    <row r="231" ht="15.75" customHeight="1">
      <c r="Y231" s="252"/>
    </row>
    <row r="232" ht="15.75" customHeight="1">
      <c r="Y232" s="252"/>
    </row>
    <row r="233" ht="15.75" customHeight="1">
      <c r="Y233" s="252"/>
    </row>
    <row r="234" ht="15.75" customHeight="1">
      <c r="Y234" s="252"/>
    </row>
    <row r="235" ht="15.75" customHeight="1">
      <c r="Y235" s="252"/>
    </row>
    <row r="236" ht="15.75" customHeight="1">
      <c r="Y236" s="252"/>
    </row>
    <row r="237" ht="15.75" customHeight="1">
      <c r="Y237" s="252"/>
    </row>
    <row r="238" ht="15.75" customHeight="1">
      <c r="Y238" s="252"/>
    </row>
    <row r="239" ht="15.75" customHeight="1">
      <c r="Y239" s="252"/>
    </row>
    <row r="240" ht="15.75" customHeight="1">
      <c r="Y240" s="252"/>
    </row>
    <row r="241" ht="15.75" customHeight="1">
      <c r="Y241" s="252"/>
    </row>
    <row r="242" ht="15.75" customHeight="1">
      <c r="Y242" s="252"/>
    </row>
    <row r="243" ht="15.75" customHeight="1">
      <c r="Y243" s="252"/>
    </row>
    <row r="244" ht="15.75" customHeight="1">
      <c r="Y244" s="252"/>
    </row>
    <row r="245" ht="15.75" customHeight="1">
      <c r="Y245" s="252"/>
    </row>
    <row r="246" ht="15.75" customHeight="1">
      <c r="Y246" s="252"/>
    </row>
    <row r="247" ht="15.75" customHeight="1">
      <c r="Y247" s="252"/>
    </row>
    <row r="248" ht="15.75" customHeight="1">
      <c r="Y248" s="252"/>
    </row>
    <row r="249" ht="15.75" customHeight="1">
      <c r="Y249" s="252"/>
    </row>
    <row r="250" ht="15.75" customHeight="1">
      <c r="Y250" s="252"/>
    </row>
    <row r="251" ht="15.75" customHeight="1">
      <c r="Y251" s="252"/>
    </row>
    <row r="252" ht="15.75" customHeight="1">
      <c r="Y252" s="252"/>
    </row>
    <row r="253" ht="15.75" customHeight="1">
      <c r="Y253" s="252"/>
    </row>
    <row r="254" ht="15.75" customHeight="1">
      <c r="Y254" s="252"/>
    </row>
    <row r="255" ht="15.75" customHeight="1">
      <c r="Y255" s="252"/>
    </row>
    <row r="256" ht="15.75" customHeight="1">
      <c r="Y256" s="252"/>
    </row>
    <row r="257" ht="15.75" customHeight="1">
      <c r="Y257" s="252"/>
    </row>
    <row r="258" ht="15.75" customHeight="1">
      <c r="Y258" s="252"/>
    </row>
    <row r="259" ht="15.75" customHeight="1">
      <c r="Y259" s="252"/>
    </row>
    <row r="260" ht="15.75" customHeight="1">
      <c r="Y260" s="252"/>
    </row>
    <row r="261" ht="15.75" customHeight="1">
      <c r="Y261" s="252"/>
    </row>
    <row r="262" ht="15.75" customHeight="1">
      <c r="Y262" s="252"/>
    </row>
    <row r="263" ht="15.75" customHeight="1">
      <c r="Y263" s="252"/>
    </row>
    <row r="264" ht="15.75" customHeight="1">
      <c r="Y264" s="252"/>
    </row>
    <row r="265" ht="15.75" customHeight="1">
      <c r="Y265" s="252"/>
    </row>
    <row r="266" ht="15.75" customHeight="1">
      <c r="Y266" s="252"/>
    </row>
    <row r="267" ht="15.75" customHeight="1">
      <c r="Y267" s="252"/>
    </row>
    <row r="268" ht="15.75" customHeight="1">
      <c r="Y268" s="252"/>
    </row>
    <row r="269" ht="15.75" customHeight="1">
      <c r="Y269" s="252"/>
    </row>
    <row r="270" ht="15.75" customHeight="1">
      <c r="Y270" s="252"/>
    </row>
    <row r="271" ht="15.75" customHeight="1">
      <c r="Y271" s="252"/>
    </row>
    <row r="272" ht="15.75" customHeight="1">
      <c r="Y272" s="252"/>
    </row>
    <row r="273" ht="15.75" customHeight="1">
      <c r="Y273" s="252"/>
    </row>
    <row r="274" ht="15.75" customHeight="1">
      <c r="Y274" s="252"/>
    </row>
    <row r="275" ht="15.75" customHeight="1">
      <c r="Y275" s="252"/>
    </row>
    <row r="276" ht="15.75" customHeight="1">
      <c r="Y276" s="252"/>
    </row>
    <row r="277" ht="15.75" customHeight="1">
      <c r="Y277" s="252"/>
    </row>
    <row r="278" ht="15.75" customHeight="1">
      <c r="Y278" s="252"/>
    </row>
    <row r="279" ht="15.75" customHeight="1">
      <c r="Y279" s="252"/>
    </row>
    <row r="280" ht="15.75" customHeight="1">
      <c r="Y280" s="252"/>
    </row>
    <row r="281" ht="15.75" customHeight="1">
      <c r="Y281" s="252"/>
    </row>
    <row r="282" ht="15.75" customHeight="1">
      <c r="Y282" s="252"/>
    </row>
    <row r="283" ht="15.75" customHeight="1">
      <c r="Y283" s="252"/>
    </row>
    <row r="284" ht="15.75" customHeight="1">
      <c r="Y284" s="252"/>
    </row>
    <row r="285" ht="15.75" customHeight="1">
      <c r="Y285" s="252"/>
    </row>
    <row r="286" ht="15.75" customHeight="1">
      <c r="Y286" s="252"/>
    </row>
    <row r="287" ht="15.75" customHeight="1">
      <c r="Y287" s="252"/>
    </row>
    <row r="288" ht="15.75" customHeight="1">
      <c r="Y288" s="252"/>
    </row>
    <row r="289" ht="15.75" customHeight="1">
      <c r="Y289" s="252"/>
    </row>
    <row r="290" ht="15.75" customHeight="1">
      <c r="Y290" s="252"/>
    </row>
    <row r="291" ht="15.75" customHeight="1">
      <c r="Y291" s="252"/>
    </row>
    <row r="292" ht="15.75" customHeight="1">
      <c r="Y292" s="252"/>
    </row>
    <row r="293" ht="15.75" customHeight="1">
      <c r="Y293" s="252"/>
    </row>
    <row r="294" ht="15.75" customHeight="1">
      <c r="Y294" s="252"/>
    </row>
    <row r="295" ht="15.75" customHeight="1">
      <c r="Y295" s="252"/>
    </row>
    <row r="296" ht="15.75" customHeight="1">
      <c r="Y296" s="252"/>
    </row>
    <row r="297" ht="15.75" customHeight="1">
      <c r="Y297" s="252"/>
    </row>
    <row r="298" ht="15.75" customHeight="1">
      <c r="Y298" s="252"/>
    </row>
    <row r="299" ht="15.75" customHeight="1">
      <c r="Y299" s="252"/>
    </row>
    <row r="300" ht="15.75" customHeight="1">
      <c r="Y300" s="252"/>
    </row>
    <row r="301" ht="15.75" customHeight="1">
      <c r="Y301" s="252"/>
    </row>
    <row r="302" ht="15.75" customHeight="1">
      <c r="Y302" s="252"/>
    </row>
    <row r="303" ht="15.75" customHeight="1">
      <c r="Y303" s="252"/>
    </row>
    <row r="304" ht="15.75" customHeight="1">
      <c r="Y304" s="252"/>
    </row>
    <row r="305" ht="15.75" customHeight="1">
      <c r="Y305" s="252"/>
    </row>
    <row r="306" ht="15.75" customHeight="1">
      <c r="Y306" s="252"/>
    </row>
    <row r="307" ht="15.75" customHeight="1">
      <c r="Y307" s="252"/>
    </row>
    <row r="308" ht="15.75" customHeight="1">
      <c r="Y308" s="252"/>
    </row>
    <row r="309" ht="15.75" customHeight="1">
      <c r="Y309" s="252"/>
    </row>
    <row r="310" ht="15.75" customHeight="1">
      <c r="Y310" s="252"/>
    </row>
    <row r="311" ht="15.75" customHeight="1">
      <c r="Y311" s="252"/>
    </row>
    <row r="312" ht="15.75" customHeight="1">
      <c r="Y312" s="252"/>
    </row>
    <row r="313" ht="15.75" customHeight="1">
      <c r="Y313" s="252"/>
    </row>
    <row r="314" ht="15.75" customHeight="1">
      <c r="Y314" s="252"/>
    </row>
    <row r="315" ht="15.75" customHeight="1">
      <c r="Y315" s="252"/>
    </row>
    <row r="316" ht="15.75" customHeight="1">
      <c r="Y316" s="252"/>
    </row>
    <row r="317" ht="15.75" customHeight="1">
      <c r="Y317" s="252"/>
    </row>
    <row r="318" ht="15.75" customHeight="1">
      <c r="Y318" s="252"/>
    </row>
    <row r="319" ht="15.75" customHeight="1">
      <c r="Y319" s="252"/>
    </row>
    <row r="320" ht="15.75" customHeight="1">
      <c r="Y320" s="252"/>
    </row>
    <row r="321" ht="15.75" customHeight="1">
      <c r="Y321" s="252"/>
    </row>
    <row r="322" ht="15.75" customHeight="1">
      <c r="Y322" s="252"/>
    </row>
    <row r="323" ht="15.75" customHeight="1">
      <c r="Y323" s="252"/>
    </row>
    <row r="324" ht="15.75" customHeight="1">
      <c r="Y324" s="252"/>
    </row>
    <row r="325" ht="15.75" customHeight="1">
      <c r="Y325" s="252"/>
    </row>
    <row r="326" ht="15.75" customHeight="1">
      <c r="Y326" s="252"/>
    </row>
    <row r="327" ht="15.75" customHeight="1">
      <c r="Y327" s="252"/>
    </row>
    <row r="328" ht="15.75" customHeight="1">
      <c r="Y328" s="252"/>
    </row>
    <row r="329" ht="15.75" customHeight="1">
      <c r="Y329" s="252"/>
    </row>
    <row r="330" ht="15.75" customHeight="1">
      <c r="Y330" s="252"/>
    </row>
    <row r="331" ht="15.75" customHeight="1">
      <c r="Y331" s="252"/>
    </row>
    <row r="332" ht="15.75" customHeight="1">
      <c r="Y332" s="252"/>
    </row>
    <row r="333" ht="15.75" customHeight="1">
      <c r="Y333" s="252"/>
    </row>
    <row r="334" ht="15.75" customHeight="1">
      <c r="Y334" s="252"/>
    </row>
    <row r="335" ht="15.75" customHeight="1">
      <c r="Y335" s="252"/>
    </row>
    <row r="336" ht="15.75" customHeight="1">
      <c r="Y336" s="252"/>
    </row>
    <row r="337" ht="15.75" customHeight="1">
      <c r="Y337" s="252"/>
    </row>
    <row r="338" ht="15.75" customHeight="1">
      <c r="Y338" s="252"/>
    </row>
    <row r="339" ht="15.75" customHeight="1">
      <c r="Y339" s="252"/>
    </row>
    <row r="340" ht="15.75" customHeight="1">
      <c r="Y340" s="252"/>
    </row>
    <row r="341" ht="15.75" customHeight="1">
      <c r="Y341" s="252"/>
    </row>
    <row r="342" ht="15.75" customHeight="1">
      <c r="Y342" s="252"/>
    </row>
    <row r="343" ht="15.75" customHeight="1">
      <c r="Y343" s="252"/>
    </row>
    <row r="344" ht="15.75" customHeight="1">
      <c r="Y344" s="252"/>
    </row>
    <row r="345" ht="15.75" customHeight="1">
      <c r="Y345" s="252"/>
    </row>
    <row r="346" ht="15.75" customHeight="1">
      <c r="Y346" s="252"/>
    </row>
    <row r="347" ht="15.75" customHeight="1">
      <c r="Y347" s="252"/>
    </row>
    <row r="348" ht="15.75" customHeight="1">
      <c r="Y348" s="252"/>
    </row>
    <row r="349" ht="15.75" customHeight="1">
      <c r="Y349" s="252"/>
    </row>
    <row r="350" ht="15.75" customHeight="1">
      <c r="Y350" s="252"/>
    </row>
    <row r="351" ht="15.75" customHeight="1">
      <c r="Y351" s="252"/>
    </row>
    <row r="352" ht="15.75" customHeight="1">
      <c r="Y352" s="252"/>
    </row>
    <row r="353" ht="15.75" customHeight="1">
      <c r="Y353" s="252"/>
    </row>
    <row r="354" ht="15.75" customHeight="1">
      <c r="Y354" s="252"/>
    </row>
    <row r="355" ht="15.75" customHeight="1">
      <c r="Y355" s="252"/>
    </row>
    <row r="356" ht="15.75" customHeight="1">
      <c r="Y356" s="252"/>
    </row>
    <row r="357" ht="15.75" customHeight="1">
      <c r="Y357" s="252"/>
    </row>
    <row r="358" ht="15.75" customHeight="1">
      <c r="Y358" s="252"/>
    </row>
    <row r="359" ht="15.75" customHeight="1">
      <c r="Y359" s="252"/>
    </row>
    <row r="360" ht="15.75" customHeight="1">
      <c r="Y360" s="252"/>
    </row>
    <row r="361" ht="15.75" customHeight="1">
      <c r="Y361" s="252"/>
    </row>
    <row r="362" ht="15.75" customHeight="1">
      <c r="Y362" s="252"/>
    </row>
    <row r="363" ht="15.75" customHeight="1">
      <c r="Y363" s="252"/>
    </row>
    <row r="364" ht="15.75" customHeight="1">
      <c r="Y364" s="252"/>
    </row>
    <row r="365" ht="15.75" customHeight="1">
      <c r="Y365" s="252"/>
    </row>
    <row r="366" ht="15.75" customHeight="1">
      <c r="Y366" s="252"/>
    </row>
    <row r="367" ht="15.75" customHeight="1">
      <c r="Y367" s="252"/>
    </row>
    <row r="368" ht="15.75" customHeight="1">
      <c r="Y368" s="252"/>
    </row>
    <row r="369" ht="15.75" customHeight="1">
      <c r="Y369" s="252"/>
    </row>
    <row r="370" ht="15.75" customHeight="1">
      <c r="Y370" s="252"/>
    </row>
    <row r="371" ht="15.75" customHeight="1">
      <c r="Y371" s="252"/>
    </row>
    <row r="372" ht="15.75" customHeight="1">
      <c r="Y372" s="252"/>
    </row>
    <row r="373" ht="15.75" customHeight="1">
      <c r="Y373" s="252"/>
    </row>
    <row r="374" ht="15.75" customHeight="1">
      <c r="Y374" s="252"/>
    </row>
    <row r="375" ht="15.75" customHeight="1">
      <c r="Y375" s="252"/>
    </row>
    <row r="376" ht="15.75" customHeight="1">
      <c r="Y376" s="252"/>
    </row>
    <row r="377" ht="15.75" customHeight="1">
      <c r="Y377" s="252"/>
    </row>
    <row r="378" ht="15.75" customHeight="1">
      <c r="Y378" s="252"/>
    </row>
    <row r="379" ht="15.75" customHeight="1">
      <c r="Y379" s="252"/>
    </row>
    <row r="380" ht="15.75" customHeight="1">
      <c r="Y380" s="252"/>
    </row>
    <row r="381" ht="15.75" customHeight="1">
      <c r="Y381" s="252"/>
    </row>
    <row r="382" ht="15.75" customHeight="1">
      <c r="Y382" s="252"/>
    </row>
    <row r="383" ht="15.75" customHeight="1">
      <c r="Y383" s="252"/>
    </row>
    <row r="384" ht="15.75" customHeight="1">
      <c r="Y384" s="252"/>
    </row>
    <row r="385" ht="15.75" customHeight="1">
      <c r="Y385" s="252"/>
    </row>
    <row r="386" ht="15.75" customHeight="1">
      <c r="Y386" s="252"/>
    </row>
    <row r="387" ht="15.75" customHeight="1">
      <c r="Y387" s="252"/>
    </row>
    <row r="388" ht="15.75" customHeight="1">
      <c r="Y388" s="252"/>
    </row>
    <row r="389" ht="15.75" customHeight="1">
      <c r="Y389" s="252"/>
    </row>
    <row r="390" ht="15.75" customHeight="1">
      <c r="Y390" s="252"/>
    </row>
    <row r="391" ht="15.75" customHeight="1">
      <c r="Y391" s="252"/>
    </row>
    <row r="392" ht="15.75" customHeight="1">
      <c r="Y392" s="252"/>
    </row>
    <row r="393" ht="15.75" customHeight="1">
      <c r="Y393" s="252"/>
    </row>
    <row r="394" ht="15.75" customHeight="1">
      <c r="Y394" s="252"/>
    </row>
    <row r="395" ht="15.75" customHeight="1">
      <c r="Y395" s="252"/>
    </row>
    <row r="396" ht="15.75" customHeight="1">
      <c r="Y396" s="252"/>
    </row>
    <row r="397" ht="15.75" customHeight="1">
      <c r="Y397" s="252"/>
    </row>
    <row r="398" ht="15.75" customHeight="1">
      <c r="Y398" s="252"/>
    </row>
    <row r="399" ht="15.75" customHeight="1">
      <c r="Y399" s="252"/>
    </row>
    <row r="400" ht="15.75" customHeight="1">
      <c r="Y400" s="252"/>
    </row>
    <row r="401" ht="15.75" customHeight="1">
      <c r="Y401" s="252"/>
    </row>
    <row r="402" ht="15.75" customHeight="1">
      <c r="Y402" s="252"/>
    </row>
    <row r="403" ht="15.75" customHeight="1">
      <c r="Y403" s="252"/>
    </row>
    <row r="404" ht="15.75" customHeight="1">
      <c r="Y404" s="252"/>
    </row>
    <row r="405" ht="15.75" customHeight="1">
      <c r="Y405" s="252"/>
    </row>
    <row r="406" ht="15.75" customHeight="1">
      <c r="Y406" s="252"/>
    </row>
    <row r="407" ht="15.75" customHeight="1">
      <c r="Y407" s="252"/>
    </row>
    <row r="408" ht="15.75" customHeight="1">
      <c r="Y408" s="252"/>
    </row>
    <row r="409" ht="15.75" customHeight="1">
      <c r="Y409" s="252"/>
    </row>
    <row r="410" ht="15.75" customHeight="1">
      <c r="Y410" s="252"/>
    </row>
    <row r="411" ht="15.75" customHeight="1">
      <c r="Y411" s="252"/>
    </row>
    <row r="412" ht="15.75" customHeight="1">
      <c r="Y412" s="252"/>
    </row>
    <row r="413" ht="15.75" customHeight="1">
      <c r="Y413" s="252"/>
    </row>
    <row r="414" ht="15.75" customHeight="1">
      <c r="Y414" s="252"/>
    </row>
    <row r="415" ht="15.75" customHeight="1">
      <c r="Y415" s="252"/>
    </row>
    <row r="416" ht="15.75" customHeight="1">
      <c r="Y416" s="252"/>
    </row>
    <row r="417" ht="15.75" customHeight="1">
      <c r="Y417" s="252"/>
    </row>
    <row r="418" ht="15.75" customHeight="1">
      <c r="Y418" s="252"/>
    </row>
    <row r="419" ht="15.75" customHeight="1">
      <c r="Y419" s="252"/>
    </row>
    <row r="420" ht="15.75" customHeight="1">
      <c r="Y420" s="252"/>
    </row>
    <row r="421" ht="15.75" customHeight="1">
      <c r="Y421" s="252"/>
    </row>
    <row r="422" ht="15.75" customHeight="1">
      <c r="Y422" s="252"/>
    </row>
    <row r="423" ht="15.75" customHeight="1">
      <c r="Y423" s="252"/>
    </row>
    <row r="424" ht="15.75" customHeight="1">
      <c r="Y424" s="252"/>
    </row>
    <row r="425" ht="15.75" customHeight="1">
      <c r="Y425" s="252"/>
    </row>
    <row r="426" ht="15.75" customHeight="1">
      <c r="Y426" s="252"/>
    </row>
    <row r="427" ht="15.75" customHeight="1">
      <c r="Y427" s="252"/>
    </row>
    <row r="428" ht="15.75" customHeight="1">
      <c r="Y428" s="252"/>
    </row>
    <row r="429" ht="15.75" customHeight="1">
      <c r="Y429" s="252"/>
    </row>
    <row r="430" ht="15.75" customHeight="1">
      <c r="Y430" s="252"/>
    </row>
    <row r="431" ht="15.75" customHeight="1">
      <c r="Y431" s="252"/>
    </row>
    <row r="432" ht="15.75" customHeight="1">
      <c r="Y432" s="252"/>
    </row>
    <row r="433" ht="15.75" customHeight="1">
      <c r="Y433" s="252"/>
    </row>
    <row r="434" ht="15.75" customHeight="1">
      <c r="Y434" s="252"/>
    </row>
    <row r="435" ht="15.75" customHeight="1">
      <c r="Y435" s="252"/>
    </row>
    <row r="436" ht="15.75" customHeight="1">
      <c r="Y436" s="252"/>
    </row>
    <row r="437" ht="15.75" customHeight="1">
      <c r="Y437" s="252"/>
    </row>
    <row r="438" ht="15.75" customHeight="1">
      <c r="Y438" s="252"/>
    </row>
    <row r="439" ht="15.75" customHeight="1">
      <c r="Y439" s="252"/>
    </row>
    <row r="440" ht="15.75" customHeight="1">
      <c r="Y440" s="252"/>
    </row>
    <row r="441" ht="15.75" customHeight="1">
      <c r="Y441" s="252"/>
    </row>
    <row r="442" ht="15.75" customHeight="1">
      <c r="Y442" s="252"/>
    </row>
    <row r="443" ht="15.75" customHeight="1">
      <c r="Y443" s="252"/>
    </row>
    <row r="444" ht="15.75" customHeight="1">
      <c r="Y444" s="252"/>
    </row>
    <row r="445" ht="15.75" customHeight="1">
      <c r="Y445" s="252"/>
    </row>
    <row r="446" ht="15.75" customHeight="1">
      <c r="Y446" s="252"/>
    </row>
    <row r="447" ht="15.75" customHeight="1">
      <c r="Y447" s="252"/>
    </row>
    <row r="448" ht="15.75" customHeight="1">
      <c r="Y448" s="252"/>
    </row>
    <row r="449" ht="15.75" customHeight="1">
      <c r="Y449" s="252"/>
    </row>
    <row r="450" ht="15.75" customHeight="1">
      <c r="Y450" s="252"/>
    </row>
    <row r="451" ht="15.75" customHeight="1">
      <c r="Y451" s="252"/>
    </row>
    <row r="452" ht="15.75" customHeight="1">
      <c r="Y452" s="252"/>
    </row>
    <row r="453" ht="15.75" customHeight="1">
      <c r="Y453" s="252"/>
    </row>
    <row r="454" ht="15.75" customHeight="1">
      <c r="Y454" s="252"/>
    </row>
    <row r="455" ht="15.75" customHeight="1">
      <c r="Y455" s="252"/>
    </row>
    <row r="456" ht="15.75" customHeight="1">
      <c r="Y456" s="252"/>
    </row>
    <row r="457" ht="15.75" customHeight="1">
      <c r="Y457" s="252"/>
    </row>
    <row r="458" ht="15.75" customHeight="1">
      <c r="Y458" s="252"/>
    </row>
    <row r="459" ht="15.75" customHeight="1">
      <c r="Y459" s="252"/>
    </row>
    <row r="460" ht="15.75" customHeight="1">
      <c r="Y460" s="252"/>
    </row>
    <row r="461" ht="15.75" customHeight="1">
      <c r="Y461" s="252"/>
    </row>
    <row r="462" ht="15.75" customHeight="1">
      <c r="Y462" s="252"/>
    </row>
    <row r="463" ht="15.75" customHeight="1">
      <c r="Y463" s="252"/>
    </row>
    <row r="464" ht="15.75" customHeight="1">
      <c r="Y464" s="252"/>
    </row>
    <row r="465" ht="15.75" customHeight="1">
      <c r="Y465" s="252"/>
    </row>
    <row r="466" ht="15.75" customHeight="1">
      <c r="Y466" s="252"/>
    </row>
    <row r="467" ht="15.75" customHeight="1">
      <c r="Y467" s="252"/>
    </row>
    <row r="468" ht="15.75" customHeight="1">
      <c r="Y468" s="252"/>
    </row>
    <row r="469" ht="15.75" customHeight="1">
      <c r="Y469" s="252"/>
    </row>
    <row r="470" ht="15.75" customHeight="1">
      <c r="Y470" s="252"/>
    </row>
    <row r="471" ht="15.75" customHeight="1">
      <c r="Y471" s="252"/>
    </row>
    <row r="472" ht="15.75" customHeight="1">
      <c r="Y472" s="252"/>
    </row>
    <row r="473" ht="15.75" customHeight="1">
      <c r="Y473" s="252"/>
    </row>
    <row r="474" ht="15.75" customHeight="1">
      <c r="Y474" s="252"/>
    </row>
    <row r="475" ht="15.75" customHeight="1">
      <c r="Y475" s="252"/>
    </row>
    <row r="476" ht="15.75" customHeight="1">
      <c r="Y476" s="252"/>
    </row>
    <row r="477" ht="15.75" customHeight="1">
      <c r="Y477" s="252"/>
    </row>
    <row r="478" ht="15.75" customHeight="1">
      <c r="Y478" s="252"/>
    </row>
    <row r="479" ht="15.75" customHeight="1">
      <c r="Y479" s="252"/>
    </row>
    <row r="480" ht="15.75" customHeight="1">
      <c r="Y480" s="252"/>
    </row>
    <row r="481" ht="15.75" customHeight="1">
      <c r="Y481" s="252"/>
    </row>
    <row r="482" ht="15.75" customHeight="1">
      <c r="Y482" s="252"/>
    </row>
    <row r="483" ht="15.75" customHeight="1">
      <c r="Y483" s="252"/>
    </row>
    <row r="484" ht="15.75" customHeight="1">
      <c r="Y484" s="252"/>
    </row>
    <row r="485" ht="15.75" customHeight="1">
      <c r="Y485" s="252"/>
    </row>
    <row r="486" ht="15.75" customHeight="1">
      <c r="Y486" s="252"/>
    </row>
    <row r="487" ht="15.75" customHeight="1">
      <c r="Y487" s="252"/>
    </row>
    <row r="488" ht="15.75" customHeight="1">
      <c r="Y488" s="252"/>
    </row>
    <row r="489" ht="15.75" customHeight="1">
      <c r="Y489" s="252"/>
    </row>
    <row r="490" ht="15.75" customHeight="1">
      <c r="Y490" s="252"/>
    </row>
    <row r="491" ht="15.75" customHeight="1">
      <c r="Y491" s="252"/>
    </row>
    <row r="492" ht="15.75" customHeight="1">
      <c r="Y492" s="252"/>
    </row>
    <row r="493" ht="15.75" customHeight="1">
      <c r="Y493" s="252"/>
    </row>
    <row r="494" ht="15.75" customHeight="1">
      <c r="Y494" s="252"/>
    </row>
    <row r="495" ht="15.75" customHeight="1">
      <c r="Y495" s="252"/>
    </row>
    <row r="496" ht="15.75" customHeight="1">
      <c r="Y496" s="252"/>
    </row>
    <row r="497" ht="15.75" customHeight="1">
      <c r="Y497" s="252"/>
    </row>
    <row r="498" ht="15.75" customHeight="1">
      <c r="Y498" s="252"/>
    </row>
    <row r="499" ht="15.75" customHeight="1">
      <c r="Y499" s="252"/>
    </row>
    <row r="500" ht="15.75" customHeight="1">
      <c r="Y500" s="252"/>
    </row>
    <row r="501" ht="15.75" customHeight="1">
      <c r="Y501" s="252"/>
    </row>
    <row r="502" ht="15.75" customHeight="1">
      <c r="Y502" s="252"/>
    </row>
    <row r="503" ht="15.75" customHeight="1">
      <c r="Y503" s="252"/>
    </row>
    <row r="504" ht="15.75" customHeight="1">
      <c r="Y504" s="252"/>
    </row>
    <row r="505" ht="15.75" customHeight="1">
      <c r="Y505" s="252"/>
    </row>
    <row r="506" ht="15.75" customHeight="1">
      <c r="Y506" s="252"/>
    </row>
    <row r="507" ht="15.75" customHeight="1">
      <c r="Y507" s="252"/>
    </row>
    <row r="508" ht="15.75" customHeight="1">
      <c r="Y508" s="252"/>
    </row>
    <row r="509" ht="15.75" customHeight="1">
      <c r="Y509" s="252"/>
    </row>
    <row r="510" ht="15.75" customHeight="1">
      <c r="Y510" s="252"/>
    </row>
    <row r="511" ht="15.75" customHeight="1">
      <c r="Y511" s="252"/>
    </row>
    <row r="512" ht="15.75" customHeight="1">
      <c r="Y512" s="252"/>
    </row>
    <row r="513" ht="15.75" customHeight="1">
      <c r="Y513" s="252"/>
    </row>
    <row r="514" ht="15.75" customHeight="1">
      <c r="Y514" s="252"/>
    </row>
    <row r="515" ht="15.75" customHeight="1">
      <c r="Y515" s="252"/>
    </row>
    <row r="516" ht="15.75" customHeight="1">
      <c r="Y516" s="252"/>
    </row>
    <row r="517" ht="15.75" customHeight="1">
      <c r="Y517" s="252"/>
    </row>
    <row r="518" ht="15.75" customHeight="1">
      <c r="Y518" s="252"/>
    </row>
    <row r="519" ht="15.75" customHeight="1">
      <c r="Y519" s="252"/>
    </row>
    <row r="520" ht="15.75" customHeight="1">
      <c r="Y520" s="252"/>
    </row>
    <row r="521" ht="15.75" customHeight="1">
      <c r="Y521" s="252"/>
    </row>
    <row r="522" ht="15.75" customHeight="1">
      <c r="Y522" s="252"/>
    </row>
    <row r="523" ht="15.75" customHeight="1">
      <c r="Y523" s="252"/>
    </row>
    <row r="524" ht="15.75" customHeight="1">
      <c r="Y524" s="252"/>
    </row>
    <row r="525" ht="15.75" customHeight="1">
      <c r="Y525" s="252"/>
    </row>
    <row r="526" ht="15.75" customHeight="1">
      <c r="Y526" s="252"/>
    </row>
    <row r="527" ht="15.75" customHeight="1">
      <c r="Y527" s="252"/>
    </row>
    <row r="528" ht="15.75" customHeight="1">
      <c r="Y528" s="252"/>
    </row>
    <row r="529" ht="15.75" customHeight="1">
      <c r="Y529" s="252"/>
    </row>
    <row r="530" ht="15.75" customHeight="1">
      <c r="Y530" s="252"/>
    </row>
    <row r="531" ht="15.75" customHeight="1">
      <c r="Y531" s="252"/>
    </row>
    <row r="532" ht="15.75" customHeight="1">
      <c r="Y532" s="252"/>
    </row>
    <row r="533" ht="15.75" customHeight="1">
      <c r="Y533" s="252"/>
    </row>
    <row r="534" ht="15.75" customHeight="1">
      <c r="Y534" s="252"/>
    </row>
    <row r="535" ht="15.75" customHeight="1">
      <c r="Y535" s="252"/>
    </row>
    <row r="536" ht="15.75" customHeight="1">
      <c r="Y536" s="252"/>
    </row>
    <row r="537" ht="15.75" customHeight="1">
      <c r="Y537" s="252"/>
    </row>
    <row r="538" ht="15.75" customHeight="1">
      <c r="Y538" s="252"/>
    </row>
    <row r="539" ht="15.75" customHeight="1">
      <c r="Y539" s="252"/>
    </row>
    <row r="540" ht="15.75" customHeight="1">
      <c r="Y540" s="252"/>
    </row>
    <row r="541" ht="15.75" customHeight="1">
      <c r="Y541" s="252"/>
    </row>
    <row r="542" ht="15.75" customHeight="1">
      <c r="Y542" s="252"/>
    </row>
    <row r="543" ht="15.75" customHeight="1">
      <c r="Y543" s="252"/>
    </row>
    <row r="544" ht="15.75" customHeight="1">
      <c r="Y544" s="252"/>
    </row>
    <row r="545" ht="15.75" customHeight="1">
      <c r="Y545" s="252"/>
    </row>
    <row r="546" ht="15.75" customHeight="1">
      <c r="Y546" s="252"/>
    </row>
    <row r="547" ht="15.75" customHeight="1">
      <c r="Y547" s="252"/>
    </row>
    <row r="548" ht="15.75" customHeight="1">
      <c r="Y548" s="252"/>
    </row>
    <row r="549" ht="15.75" customHeight="1">
      <c r="Y549" s="252"/>
    </row>
    <row r="550" ht="15.75" customHeight="1">
      <c r="Y550" s="252"/>
    </row>
    <row r="551" ht="15.75" customHeight="1">
      <c r="Y551" s="252"/>
    </row>
    <row r="552" ht="15.75" customHeight="1">
      <c r="Y552" s="252"/>
    </row>
    <row r="553" ht="15.75" customHeight="1">
      <c r="Y553" s="252"/>
    </row>
    <row r="554" ht="15.75" customHeight="1">
      <c r="Y554" s="252"/>
    </row>
    <row r="555" ht="15.75" customHeight="1">
      <c r="Y555" s="252"/>
    </row>
    <row r="556" ht="15.75" customHeight="1">
      <c r="Y556" s="252"/>
    </row>
    <row r="557" ht="15.75" customHeight="1">
      <c r="Y557" s="252"/>
    </row>
    <row r="558" ht="15.75" customHeight="1">
      <c r="Y558" s="252"/>
    </row>
    <row r="559" ht="15.75" customHeight="1">
      <c r="Y559" s="252"/>
    </row>
    <row r="560" ht="15.75" customHeight="1">
      <c r="Y560" s="252"/>
    </row>
    <row r="561" ht="15.75" customHeight="1">
      <c r="Y561" s="252"/>
    </row>
    <row r="562" ht="15.75" customHeight="1">
      <c r="Y562" s="252"/>
    </row>
    <row r="563" ht="15.75" customHeight="1">
      <c r="Y563" s="252"/>
    </row>
    <row r="564" ht="15.75" customHeight="1">
      <c r="Y564" s="252"/>
    </row>
    <row r="565" ht="15.75" customHeight="1">
      <c r="Y565" s="252"/>
    </row>
    <row r="566" ht="15.75" customHeight="1">
      <c r="Y566" s="252"/>
    </row>
    <row r="567" ht="15.75" customHeight="1">
      <c r="Y567" s="252"/>
    </row>
    <row r="568" ht="15.75" customHeight="1">
      <c r="Y568" s="252"/>
    </row>
    <row r="569" ht="15.75" customHeight="1">
      <c r="Y569" s="252"/>
    </row>
    <row r="570" ht="15.75" customHeight="1">
      <c r="Y570" s="252"/>
    </row>
    <row r="571" ht="15.75" customHeight="1">
      <c r="Y571" s="252"/>
    </row>
    <row r="572" ht="15.75" customHeight="1">
      <c r="Y572" s="252"/>
    </row>
    <row r="573" ht="15.75" customHeight="1">
      <c r="Y573" s="252"/>
    </row>
    <row r="574" ht="15.75" customHeight="1">
      <c r="Y574" s="252"/>
    </row>
    <row r="575" ht="15.75" customHeight="1">
      <c r="Y575" s="252"/>
    </row>
    <row r="576" ht="15.75" customHeight="1">
      <c r="Y576" s="252"/>
    </row>
    <row r="577" ht="15.75" customHeight="1">
      <c r="Y577" s="252"/>
    </row>
    <row r="578" ht="15.75" customHeight="1">
      <c r="Y578" s="252"/>
    </row>
    <row r="579" ht="15.75" customHeight="1">
      <c r="Y579" s="252"/>
    </row>
    <row r="580" ht="15.75" customHeight="1">
      <c r="Y580" s="252"/>
    </row>
    <row r="581" ht="15.75" customHeight="1">
      <c r="Y581" s="252"/>
    </row>
    <row r="582" ht="15.75" customHeight="1">
      <c r="Y582" s="252"/>
    </row>
    <row r="583" ht="15.75" customHeight="1">
      <c r="Y583" s="252"/>
    </row>
    <row r="584" ht="15.75" customHeight="1">
      <c r="Y584" s="252"/>
    </row>
    <row r="585" ht="15.75" customHeight="1">
      <c r="Y585" s="252"/>
    </row>
    <row r="586" ht="15.75" customHeight="1">
      <c r="Y586" s="252"/>
    </row>
    <row r="587" ht="15.75" customHeight="1">
      <c r="Y587" s="252"/>
    </row>
    <row r="588" ht="15.75" customHeight="1">
      <c r="Y588" s="252"/>
    </row>
    <row r="589" ht="15.75" customHeight="1">
      <c r="Y589" s="252"/>
    </row>
    <row r="590" ht="15.75" customHeight="1">
      <c r="Y590" s="252"/>
    </row>
    <row r="591" ht="15.75" customHeight="1">
      <c r="Y591" s="252"/>
    </row>
    <row r="592" ht="15.75" customHeight="1">
      <c r="Y592" s="252"/>
    </row>
    <row r="593" ht="15.75" customHeight="1">
      <c r="Y593" s="252"/>
    </row>
    <row r="594" ht="15.75" customHeight="1">
      <c r="Y594" s="252"/>
    </row>
    <row r="595" ht="15.75" customHeight="1">
      <c r="Y595" s="252"/>
    </row>
    <row r="596" ht="15.75" customHeight="1">
      <c r="Y596" s="252"/>
    </row>
    <row r="597" ht="15.75" customHeight="1">
      <c r="Y597" s="252"/>
    </row>
    <row r="598" ht="15.75" customHeight="1">
      <c r="Y598" s="252"/>
    </row>
    <row r="599" ht="15.75" customHeight="1">
      <c r="Y599" s="252"/>
    </row>
    <row r="600" ht="15.75" customHeight="1">
      <c r="Y600" s="252"/>
    </row>
    <row r="601" ht="15.75" customHeight="1">
      <c r="Y601" s="252"/>
    </row>
    <row r="602" ht="15.75" customHeight="1">
      <c r="Y602" s="252"/>
    </row>
    <row r="603" ht="15.75" customHeight="1">
      <c r="Y603" s="252"/>
    </row>
    <row r="604" ht="15.75" customHeight="1">
      <c r="Y604" s="252"/>
    </row>
    <row r="605" ht="15.75" customHeight="1">
      <c r="Y605" s="252"/>
    </row>
    <row r="606" ht="15.75" customHeight="1">
      <c r="Y606" s="252"/>
    </row>
    <row r="607" ht="15.75" customHeight="1">
      <c r="Y607" s="252"/>
    </row>
    <row r="608" ht="15.75" customHeight="1">
      <c r="Y608" s="252"/>
    </row>
    <row r="609" ht="15.75" customHeight="1">
      <c r="Y609" s="252"/>
    </row>
    <row r="610" ht="15.75" customHeight="1">
      <c r="Y610" s="252"/>
    </row>
    <row r="611" ht="15.75" customHeight="1">
      <c r="Y611" s="252"/>
    </row>
    <row r="612" ht="15.75" customHeight="1">
      <c r="Y612" s="252"/>
    </row>
    <row r="613" ht="15.75" customHeight="1">
      <c r="Y613" s="252"/>
    </row>
    <row r="614" ht="15.75" customHeight="1">
      <c r="Y614" s="252"/>
    </row>
    <row r="615" ht="15.75" customHeight="1">
      <c r="Y615" s="252"/>
    </row>
    <row r="616" ht="15.75" customHeight="1">
      <c r="Y616" s="252"/>
    </row>
    <row r="617" ht="15.75" customHeight="1">
      <c r="Y617" s="252"/>
    </row>
    <row r="618" ht="15.75" customHeight="1">
      <c r="Y618" s="252"/>
    </row>
    <row r="619" ht="15.75" customHeight="1">
      <c r="Y619" s="252"/>
    </row>
    <row r="620" ht="15.75" customHeight="1">
      <c r="Y620" s="252"/>
    </row>
    <row r="621" ht="15.75" customHeight="1">
      <c r="Y621" s="252"/>
    </row>
    <row r="622" ht="15.75" customHeight="1">
      <c r="Y622" s="252"/>
    </row>
    <row r="623" ht="15.75" customHeight="1">
      <c r="Y623" s="252"/>
    </row>
    <row r="624" ht="15.75" customHeight="1">
      <c r="Y624" s="252"/>
    </row>
    <row r="625" ht="15.75" customHeight="1">
      <c r="Y625" s="252"/>
    </row>
    <row r="626" ht="15.75" customHeight="1">
      <c r="Y626" s="252"/>
    </row>
    <row r="627" ht="15.75" customHeight="1">
      <c r="Y627" s="252"/>
    </row>
    <row r="628" ht="15.75" customHeight="1">
      <c r="Y628" s="252"/>
    </row>
    <row r="629" ht="15.75" customHeight="1">
      <c r="Y629" s="252"/>
    </row>
    <row r="630" ht="15.75" customHeight="1">
      <c r="Y630" s="252"/>
    </row>
    <row r="631" ht="15.75" customHeight="1">
      <c r="Y631" s="252"/>
    </row>
    <row r="632" ht="15.75" customHeight="1">
      <c r="Y632" s="252"/>
    </row>
    <row r="633" ht="15.75" customHeight="1">
      <c r="Y633" s="252"/>
    </row>
    <row r="634" ht="15.75" customHeight="1">
      <c r="Y634" s="252"/>
    </row>
    <row r="635" ht="15.75" customHeight="1">
      <c r="Y635" s="252"/>
    </row>
    <row r="636" ht="15.75" customHeight="1">
      <c r="Y636" s="252"/>
    </row>
    <row r="637" ht="15.75" customHeight="1">
      <c r="Y637" s="252"/>
    </row>
    <row r="638" ht="15.75" customHeight="1">
      <c r="Y638" s="252"/>
    </row>
    <row r="639" ht="15.75" customHeight="1">
      <c r="Y639" s="252"/>
    </row>
    <row r="640" ht="15.75" customHeight="1">
      <c r="Y640" s="252"/>
    </row>
    <row r="641" ht="15.75" customHeight="1">
      <c r="Y641" s="252"/>
    </row>
    <row r="642" ht="15.75" customHeight="1">
      <c r="Y642" s="252"/>
    </row>
    <row r="643" ht="15.75" customHeight="1">
      <c r="Y643" s="252"/>
    </row>
    <row r="644" ht="15.75" customHeight="1">
      <c r="Y644" s="252"/>
    </row>
    <row r="645" ht="15.75" customHeight="1">
      <c r="Y645" s="252"/>
    </row>
    <row r="646" ht="15.75" customHeight="1">
      <c r="Y646" s="252"/>
    </row>
    <row r="647" ht="15.75" customHeight="1">
      <c r="Y647" s="252"/>
    </row>
    <row r="648" ht="15.75" customHeight="1">
      <c r="Y648" s="252"/>
    </row>
    <row r="649" ht="15.75" customHeight="1">
      <c r="Y649" s="252"/>
    </row>
    <row r="650" ht="15.75" customHeight="1">
      <c r="Y650" s="252"/>
    </row>
    <row r="651" ht="15.75" customHeight="1">
      <c r="Y651" s="252"/>
    </row>
    <row r="652" ht="15.75" customHeight="1">
      <c r="Y652" s="252"/>
    </row>
    <row r="653" ht="15.75" customHeight="1">
      <c r="Y653" s="252"/>
    </row>
    <row r="654" ht="15.75" customHeight="1">
      <c r="Y654" s="252"/>
    </row>
    <row r="655" ht="15.75" customHeight="1">
      <c r="Y655" s="252"/>
    </row>
    <row r="656" ht="15.75" customHeight="1">
      <c r="Y656" s="252"/>
    </row>
    <row r="657" ht="15.75" customHeight="1">
      <c r="Y657" s="252"/>
    </row>
    <row r="658" ht="15.75" customHeight="1">
      <c r="Y658" s="252"/>
    </row>
    <row r="659" ht="15.75" customHeight="1">
      <c r="Y659" s="252"/>
    </row>
    <row r="660" ht="15.75" customHeight="1">
      <c r="Y660" s="252"/>
    </row>
    <row r="661" ht="15.75" customHeight="1">
      <c r="Y661" s="252"/>
    </row>
    <row r="662" ht="15.75" customHeight="1">
      <c r="Y662" s="252"/>
    </row>
    <row r="663" ht="15.75" customHeight="1">
      <c r="Y663" s="252"/>
    </row>
    <row r="664" ht="15.75" customHeight="1">
      <c r="Y664" s="252"/>
    </row>
    <row r="665" ht="15.75" customHeight="1">
      <c r="Y665" s="252"/>
    </row>
    <row r="666" ht="15.75" customHeight="1">
      <c r="Y666" s="252"/>
    </row>
    <row r="667" ht="15.75" customHeight="1">
      <c r="Y667" s="252"/>
    </row>
    <row r="668" ht="15.75" customHeight="1">
      <c r="Y668" s="252"/>
    </row>
    <row r="669" ht="15.75" customHeight="1">
      <c r="Y669" s="252"/>
    </row>
    <row r="670" ht="15.75" customHeight="1">
      <c r="Y670" s="252"/>
    </row>
    <row r="671" ht="15.75" customHeight="1">
      <c r="Y671" s="252"/>
    </row>
    <row r="672" ht="15.75" customHeight="1">
      <c r="Y672" s="252"/>
    </row>
    <row r="673" ht="15.75" customHeight="1">
      <c r="Y673" s="252"/>
    </row>
    <row r="674" ht="15.75" customHeight="1">
      <c r="Y674" s="252"/>
    </row>
    <row r="675" ht="15.75" customHeight="1">
      <c r="Y675" s="252"/>
    </row>
    <row r="676" ht="15.75" customHeight="1">
      <c r="Y676" s="252"/>
    </row>
    <row r="677" ht="15.75" customHeight="1">
      <c r="Y677" s="252"/>
    </row>
    <row r="678" ht="15.75" customHeight="1">
      <c r="Y678" s="252"/>
    </row>
    <row r="679" ht="15.75" customHeight="1">
      <c r="Y679" s="252"/>
    </row>
    <row r="680" ht="15.75" customHeight="1">
      <c r="Y680" s="252"/>
    </row>
    <row r="681" ht="15.75" customHeight="1">
      <c r="Y681" s="252"/>
    </row>
    <row r="682" ht="15.75" customHeight="1">
      <c r="Y682" s="252"/>
    </row>
    <row r="683" ht="15.75" customHeight="1">
      <c r="Y683" s="252"/>
    </row>
    <row r="684" ht="15.75" customHeight="1">
      <c r="Y684" s="252"/>
    </row>
    <row r="685" ht="15.75" customHeight="1">
      <c r="Y685" s="252"/>
    </row>
    <row r="686" ht="15.75" customHeight="1">
      <c r="Y686" s="252"/>
    </row>
    <row r="687" ht="15.75" customHeight="1">
      <c r="Y687" s="252"/>
    </row>
    <row r="688" ht="15.75" customHeight="1">
      <c r="Y688" s="252"/>
    </row>
    <row r="689" ht="15.75" customHeight="1">
      <c r="Y689" s="252"/>
    </row>
    <row r="690" ht="15.75" customHeight="1">
      <c r="Y690" s="252"/>
    </row>
    <row r="691" ht="15.75" customHeight="1">
      <c r="Y691" s="252"/>
    </row>
    <row r="692" ht="15.75" customHeight="1">
      <c r="Y692" s="252"/>
    </row>
    <row r="693" ht="15.75" customHeight="1">
      <c r="Y693" s="252"/>
    </row>
    <row r="694" ht="15.75" customHeight="1">
      <c r="Y694" s="252"/>
    </row>
    <row r="695" ht="15.75" customHeight="1">
      <c r="Y695" s="252"/>
    </row>
    <row r="696" ht="15.75" customHeight="1">
      <c r="Y696" s="252"/>
    </row>
    <row r="697" ht="15.75" customHeight="1">
      <c r="Y697" s="252"/>
    </row>
    <row r="698" ht="15.75" customHeight="1">
      <c r="Y698" s="252"/>
    </row>
    <row r="699" ht="15.75" customHeight="1">
      <c r="Y699" s="252"/>
    </row>
    <row r="700" ht="15.75" customHeight="1">
      <c r="Y700" s="252"/>
    </row>
    <row r="701" ht="15.75" customHeight="1">
      <c r="Y701" s="252"/>
    </row>
    <row r="702" ht="15.75" customHeight="1">
      <c r="Y702" s="252"/>
    </row>
    <row r="703" ht="15.75" customHeight="1">
      <c r="Y703" s="252"/>
    </row>
    <row r="704" ht="15.75" customHeight="1">
      <c r="Y704" s="252"/>
    </row>
    <row r="705" ht="15.75" customHeight="1">
      <c r="Y705" s="252"/>
    </row>
    <row r="706" ht="15.75" customHeight="1">
      <c r="Y706" s="252"/>
    </row>
    <row r="707" ht="15.75" customHeight="1">
      <c r="Y707" s="252"/>
    </row>
    <row r="708" ht="15.75" customHeight="1">
      <c r="Y708" s="252"/>
    </row>
    <row r="709" ht="15.75" customHeight="1">
      <c r="Y709" s="252"/>
    </row>
    <row r="710" ht="15.75" customHeight="1">
      <c r="Y710" s="252"/>
    </row>
    <row r="711" ht="15.75" customHeight="1">
      <c r="Y711" s="252"/>
    </row>
    <row r="712" ht="15.75" customHeight="1">
      <c r="Y712" s="252"/>
    </row>
    <row r="713" ht="15.75" customHeight="1">
      <c r="Y713" s="252"/>
    </row>
    <row r="714" ht="15.75" customHeight="1">
      <c r="Y714" s="252"/>
    </row>
    <row r="715" ht="15.75" customHeight="1">
      <c r="Y715" s="252"/>
    </row>
    <row r="716" ht="15.75" customHeight="1">
      <c r="Y716" s="252"/>
    </row>
    <row r="717" ht="15.75" customHeight="1">
      <c r="Y717" s="252"/>
    </row>
    <row r="718" ht="15.75" customHeight="1">
      <c r="Y718" s="252"/>
    </row>
    <row r="719" ht="15.75" customHeight="1">
      <c r="Y719" s="252"/>
    </row>
    <row r="720" ht="15.75" customHeight="1">
      <c r="Y720" s="252"/>
    </row>
    <row r="721" ht="15.75" customHeight="1">
      <c r="Y721" s="252"/>
    </row>
    <row r="722" ht="15.75" customHeight="1">
      <c r="Y722" s="252"/>
    </row>
    <row r="723" ht="15.75" customHeight="1">
      <c r="Y723" s="252"/>
    </row>
    <row r="724" ht="15.75" customHeight="1">
      <c r="Y724" s="252"/>
    </row>
    <row r="725" ht="15.75" customHeight="1">
      <c r="Y725" s="252"/>
    </row>
    <row r="726" ht="15.75" customHeight="1">
      <c r="Y726" s="252"/>
    </row>
    <row r="727" ht="15.75" customHeight="1">
      <c r="Y727" s="252"/>
    </row>
    <row r="728" ht="15.75" customHeight="1">
      <c r="Y728" s="252"/>
    </row>
    <row r="729" ht="15.75" customHeight="1">
      <c r="Y729" s="252"/>
    </row>
    <row r="730" ht="15.75" customHeight="1">
      <c r="Y730" s="252"/>
    </row>
    <row r="731" ht="15.75" customHeight="1">
      <c r="Y731" s="252"/>
    </row>
    <row r="732" ht="15.75" customHeight="1">
      <c r="Y732" s="252"/>
    </row>
    <row r="733" ht="15.75" customHeight="1">
      <c r="Y733" s="252"/>
    </row>
    <row r="734" ht="15.75" customHeight="1">
      <c r="Y734" s="252"/>
    </row>
    <row r="735" ht="15.75" customHeight="1">
      <c r="Y735" s="252"/>
    </row>
    <row r="736" ht="15.75" customHeight="1">
      <c r="Y736" s="252"/>
    </row>
    <row r="737" ht="15.75" customHeight="1">
      <c r="Y737" s="252"/>
    </row>
    <row r="738" ht="15.75" customHeight="1">
      <c r="Y738" s="252"/>
    </row>
    <row r="739" ht="15.75" customHeight="1">
      <c r="Y739" s="252"/>
    </row>
    <row r="740" ht="15.75" customHeight="1">
      <c r="Y740" s="252"/>
    </row>
    <row r="741" ht="15.75" customHeight="1">
      <c r="Y741" s="252"/>
    </row>
    <row r="742" ht="15.75" customHeight="1">
      <c r="Y742" s="252"/>
    </row>
    <row r="743" ht="15.75" customHeight="1">
      <c r="Y743" s="252"/>
    </row>
    <row r="744" ht="15.75" customHeight="1">
      <c r="Y744" s="252"/>
    </row>
    <row r="745" ht="15.75" customHeight="1">
      <c r="Y745" s="252"/>
    </row>
    <row r="746" ht="15.75" customHeight="1">
      <c r="Y746" s="252"/>
    </row>
    <row r="747" ht="15.75" customHeight="1">
      <c r="Y747" s="252"/>
    </row>
    <row r="748" ht="15.75" customHeight="1">
      <c r="Y748" s="252"/>
    </row>
    <row r="749" ht="15.75" customHeight="1">
      <c r="Y749" s="252"/>
    </row>
    <row r="750" ht="15.75" customHeight="1">
      <c r="Y750" s="252"/>
    </row>
    <row r="751" ht="15.75" customHeight="1">
      <c r="Y751" s="252"/>
    </row>
    <row r="752" ht="15.75" customHeight="1">
      <c r="Y752" s="252"/>
    </row>
    <row r="753" ht="15.75" customHeight="1">
      <c r="Y753" s="252"/>
    </row>
    <row r="754" ht="15.75" customHeight="1">
      <c r="Y754" s="252"/>
    </row>
    <row r="755" ht="15.75" customHeight="1">
      <c r="Y755" s="252"/>
    </row>
    <row r="756" ht="15.75" customHeight="1">
      <c r="Y756" s="252"/>
    </row>
    <row r="757" ht="15.75" customHeight="1">
      <c r="Y757" s="252"/>
    </row>
    <row r="758" ht="15.75" customHeight="1">
      <c r="Y758" s="252"/>
    </row>
    <row r="759" ht="15.75" customHeight="1">
      <c r="Y759" s="252"/>
    </row>
    <row r="760" ht="15.75" customHeight="1">
      <c r="Y760" s="252"/>
    </row>
    <row r="761" ht="15.75" customHeight="1">
      <c r="Y761" s="252"/>
    </row>
    <row r="762" ht="15.75" customHeight="1">
      <c r="Y762" s="252"/>
    </row>
    <row r="763" ht="15.75" customHeight="1">
      <c r="Y763" s="252"/>
    </row>
    <row r="764" ht="15.75" customHeight="1">
      <c r="Y764" s="252"/>
    </row>
    <row r="765" ht="15.75" customHeight="1">
      <c r="Y765" s="252"/>
    </row>
    <row r="766" ht="15.75" customHeight="1">
      <c r="Y766" s="252"/>
    </row>
    <row r="767" ht="15.75" customHeight="1">
      <c r="Y767" s="252"/>
    </row>
    <row r="768" ht="15.75" customHeight="1">
      <c r="Y768" s="252"/>
    </row>
    <row r="769" ht="15.75" customHeight="1">
      <c r="Y769" s="252"/>
    </row>
    <row r="770" ht="15.75" customHeight="1">
      <c r="Y770" s="252"/>
    </row>
    <row r="771" ht="15.75" customHeight="1">
      <c r="Y771" s="252"/>
    </row>
    <row r="772" ht="15.75" customHeight="1">
      <c r="Y772" s="252"/>
    </row>
    <row r="773" ht="15.75" customHeight="1">
      <c r="Y773" s="252"/>
    </row>
    <row r="774" ht="15.75" customHeight="1">
      <c r="Y774" s="252"/>
    </row>
    <row r="775" ht="15.75" customHeight="1">
      <c r="Y775" s="252"/>
    </row>
    <row r="776" ht="15.75" customHeight="1">
      <c r="Y776" s="252"/>
    </row>
    <row r="777" ht="15.75" customHeight="1">
      <c r="Y777" s="252"/>
    </row>
    <row r="778" ht="15.75" customHeight="1">
      <c r="Y778" s="252"/>
    </row>
    <row r="779" ht="15.75" customHeight="1">
      <c r="Y779" s="252"/>
    </row>
    <row r="780" ht="15.75" customHeight="1">
      <c r="Y780" s="252"/>
    </row>
    <row r="781" ht="15.75" customHeight="1">
      <c r="Y781" s="252"/>
    </row>
    <row r="782" ht="15.75" customHeight="1">
      <c r="Y782" s="252"/>
    </row>
    <row r="783" ht="15.75" customHeight="1">
      <c r="Y783" s="252"/>
    </row>
    <row r="784" ht="15.75" customHeight="1">
      <c r="Y784" s="252"/>
    </row>
    <row r="785" ht="15.75" customHeight="1">
      <c r="Y785" s="252"/>
    </row>
    <row r="786" ht="15.75" customHeight="1">
      <c r="Y786" s="252"/>
    </row>
    <row r="787" ht="15.75" customHeight="1">
      <c r="Y787" s="252"/>
    </row>
    <row r="788" ht="15.75" customHeight="1">
      <c r="Y788" s="252"/>
    </row>
    <row r="789" ht="15.75" customHeight="1">
      <c r="Y789" s="252"/>
    </row>
    <row r="790" ht="15.75" customHeight="1">
      <c r="Y790" s="252"/>
    </row>
    <row r="791" ht="15.75" customHeight="1">
      <c r="Y791" s="252"/>
    </row>
    <row r="792" ht="15.75" customHeight="1">
      <c r="Y792" s="252"/>
    </row>
    <row r="793" ht="15.75" customHeight="1">
      <c r="Y793" s="252"/>
    </row>
    <row r="794" ht="15.75" customHeight="1">
      <c r="Y794" s="252"/>
    </row>
    <row r="795" ht="15.75" customHeight="1">
      <c r="Y795" s="252"/>
    </row>
    <row r="796" ht="15.75" customHeight="1">
      <c r="Y796" s="252"/>
    </row>
    <row r="797" ht="15.75" customHeight="1">
      <c r="Y797" s="252"/>
    </row>
    <row r="798" ht="15.75" customHeight="1">
      <c r="Y798" s="252"/>
    </row>
    <row r="799" ht="15.75" customHeight="1">
      <c r="Y799" s="252"/>
    </row>
    <row r="800" ht="15.75" customHeight="1">
      <c r="Y800" s="252"/>
    </row>
    <row r="801" ht="15.75" customHeight="1">
      <c r="Y801" s="252"/>
    </row>
    <row r="802" ht="15.75" customHeight="1">
      <c r="Y802" s="252"/>
    </row>
    <row r="803" ht="15.75" customHeight="1">
      <c r="Y803" s="252"/>
    </row>
    <row r="804" ht="15.75" customHeight="1">
      <c r="Y804" s="252"/>
    </row>
    <row r="805" ht="15.75" customHeight="1">
      <c r="Y805" s="252"/>
    </row>
    <row r="806" ht="15.75" customHeight="1">
      <c r="Y806" s="252"/>
    </row>
    <row r="807" ht="15.75" customHeight="1">
      <c r="Y807" s="252"/>
    </row>
    <row r="808" ht="15.75" customHeight="1">
      <c r="Y808" s="252"/>
    </row>
    <row r="809" ht="15.75" customHeight="1">
      <c r="Y809" s="252"/>
    </row>
    <row r="810" ht="15.75" customHeight="1">
      <c r="Y810" s="252"/>
    </row>
    <row r="811" ht="15.75" customHeight="1">
      <c r="Y811" s="252"/>
    </row>
    <row r="812" ht="15.75" customHeight="1">
      <c r="Y812" s="252"/>
    </row>
    <row r="813" ht="15.75" customHeight="1">
      <c r="Y813" s="252"/>
    </row>
    <row r="814" ht="15.75" customHeight="1">
      <c r="Y814" s="252"/>
    </row>
    <row r="815" ht="15.75" customHeight="1">
      <c r="Y815" s="252"/>
    </row>
    <row r="816" ht="15.75" customHeight="1">
      <c r="Y816" s="252"/>
    </row>
    <row r="817" ht="15.75" customHeight="1">
      <c r="Y817" s="252"/>
    </row>
    <row r="818" ht="15.75" customHeight="1">
      <c r="Y818" s="252"/>
    </row>
    <row r="819" ht="15.75" customHeight="1">
      <c r="Y819" s="252"/>
    </row>
    <row r="820" ht="15.75" customHeight="1">
      <c r="Y820" s="252"/>
    </row>
    <row r="821" ht="15.75" customHeight="1">
      <c r="Y821" s="252"/>
    </row>
    <row r="822" ht="15.75" customHeight="1">
      <c r="Y822" s="252"/>
    </row>
    <row r="823" ht="15.75" customHeight="1">
      <c r="Y823" s="252"/>
    </row>
    <row r="824" ht="15.75" customHeight="1">
      <c r="Y824" s="252"/>
    </row>
    <row r="825" ht="15.75" customHeight="1">
      <c r="Y825" s="252"/>
    </row>
    <row r="826" ht="15.75" customHeight="1">
      <c r="Y826" s="252"/>
    </row>
    <row r="827" ht="15.75" customHeight="1">
      <c r="Y827" s="252"/>
    </row>
    <row r="828" ht="15.75" customHeight="1">
      <c r="Y828" s="252"/>
    </row>
    <row r="829" ht="15.75" customHeight="1">
      <c r="Y829" s="252"/>
    </row>
    <row r="830" ht="15.75" customHeight="1">
      <c r="Y830" s="252"/>
    </row>
    <row r="831" ht="15.75" customHeight="1">
      <c r="Y831" s="252"/>
    </row>
    <row r="832" ht="15.75" customHeight="1">
      <c r="Y832" s="252"/>
    </row>
    <row r="833" ht="15.75" customHeight="1">
      <c r="Y833" s="252"/>
    </row>
    <row r="834" ht="15.75" customHeight="1">
      <c r="Y834" s="252"/>
    </row>
    <row r="835" ht="15.75" customHeight="1">
      <c r="Y835" s="252"/>
    </row>
    <row r="836" ht="15.75" customHeight="1">
      <c r="Y836" s="252"/>
    </row>
    <row r="837" ht="15.75" customHeight="1">
      <c r="Y837" s="252"/>
    </row>
    <row r="838" ht="15.75" customHeight="1">
      <c r="Y838" s="252"/>
    </row>
    <row r="839" ht="15.75" customHeight="1">
      <c r="Y839" s="252"/>
    </row>
    <row r="840" ht="15.75" customHeight="1">
      <c r="Y840" s="252"/>
    </row>
    <row r="841" ht="15.75" customHeight="1">
      <c r="Y841" s="252"/>
    </row>
    <row r="842" ht="15.75" customHeight="1">
      <c r="Y842" s="252"/>
    </row>
    <row r="843" ht="15.75" customHeight="1">
      <c r="Y843" s="252"/>
    </row>
    <row r="844" ht="15.75" customHeight="1">
      <c r="Y844" s="252"/>
    </row>
    <row r="845" ht="15.75" customHeight="1">
      <c r="Y845" s="252"/>
    </row>
    <row r="846" ht="15.75" customHeight="1">
      <c r="Y846" s="252"/>
    </row>
    <row r="847" ht="15.75" customHeight="1">
      <c r="Y847" s="252"/>
    </row>
    <row r="848" ht="15.75" customHeight="1">
      <c r="Y848" s="252"/>
    </row>
    <row r="849" ht="15.75" customHeight="1">
      <c r="Y849" s="252"/>
    </row>
    <row r="850" ht="15.75" customHeight="1">
      <c r="Y850" s="252"/>
    </row>
    <row r="851" ht="15.75" customHeight="1">
      <c r="Y851" s="252"/>
    </row>
    <row r="852" ht="15.75" customHeight="1">
      <c r="Y852" s="252"/>
    </row>
    <row r="853" ht="15.75" customHeight="1">
      <c r="Y853" s="252"/>
    </row>
    <row r="854" ht="15.75" customHeight="1">
      <c r="Y854" s="252"/>
    </row>
    <row r="855" ht="15.75" customHeight="1">
      <c r="Y855" s="252"/>
    </row>
    <row r="856" ht="15.75" customHeight="1">
      <c r="Y856" s="252"/>
    </row>
    <row r="857" ht="15.75" customHeight="1">
      <c r="Y857" s="252"/>
    </row>
    <row r="858" ht="15.75" customHeight="1">
      <c r="Y858" s="252"/>
    </row>
    <row r="859" ht="15.75" customHeight="1">
      <c r="Y859" s="252"/>
    </row>
    <row r="860" ht="15.75" customHeight="1">
      <c r="Y860" s="252"/>
    </row>
    <row r="861" ht="15.75" customHeight="1">
      <c r="Y861" s="252"/>
    </row>
    <row r="862" ht="15.75" customHeight="1">
      <c r="Y862" s="252"/>
    </row>
    <row r="863" ht="15.75" customHeight="1">
      <c r="Y863" s="252"/>
    </row>
    <row r="864" ht="15.75" customHeight="1">
      <c r="Y864" s="252"/>
    </row>
    <row r="865" ht="15.75" customHeight="1">
      <c r="Y865" s="252"/>
    </row>
    <row r="866" ht="15.75" customHeight="1">
      <c r="Y866" s="252"/>
    </row>
    <row r="867" ht="15.75" customHeight="1">
      <c r="Y867" s="252"/>
    </row>
    <row r="868" ht="15.75" customHeight="1">
      <c r="Y868" s="252"/>
    </row>
    <row r="869" ht="15.75" customHeight="1">
      <c r="Y869" s="252"/>
    </row>
    <row r="870" ht="15.75" customHeight="1">
      <c r="Y870" s="252"/>
    </row>
    <row r="871" ht="15.75" customHeight="1">
      <c r="Y871" s="252"/>
    </row>
    <row r="872" ht="15.75" customHeight="1">
      <c r="Y872" s="252"/>
    </row>
    <row r="873" ht="15.75" customHeight="1">
      <c r="Y873" s="252"/>
    </row>
    <row r="874" ht="15.75" customHeight="1">
      <c r="Y874" s="252"/>
    </row>
    <row r="875" ht="15.75" customHeight="1">
      <c r="Y875" s="252"/>
    </row>
    <row r="876" ht="15.75" customHeight="1">
      <c r="Y876" s="252"/>
    </row>
    <row r="877" ht="15.75" customHeight="1">
      <c r="Y877" s="252"/>
    </row>
    <row r="878" ht="15.75" customHeight="1">
      <c r="Y878" s="252"/>
    </row>
    <row r="879" ht="15.75" customHeight="1">
      <c r="Y879" s="252"/>
    </row>
    <row r="880" ht="15.75" customHeight="1">
      <c r="Y880" s="252"/>
    </row>
    <row r="881" ht="15.75" customHeight="1">
      <c r="Y881" s="252"/>
    </row>
    <row r="882" ht="15.75" customHeight="1">
      <c r="Y882" s="252"/>
    </row>
    <row r="883" ht="15.75" customHeight="1">
      <c r="Y883" s="252"/>
    </row>
    <row r="884" ht="15.75" customHeight="1">
      <c r="Y884" s="252"/>
    </row>
    <row r="885" ht="15.75" customHeight="1">
      <c r="Y885" s="252"/>
    </row>
    <row r="886" ht="15.75" customHeight="1">
      <c r="Y886" s="252"/>
    </row>
    <row r="887" ht="15.75" customHeight="1">
      <c r="Y887" s="252"/>
    </row>
    <row r="888" ht="15.75" customHeight="1">
      <c r="Y888" s="252"/>
    </row>
    <row r="889" ht="15.75" customHeight="1">
      <c r="Y889" s="252"/>
    </row>
    <row r="890" ht="15.75" customHeight="1">
      <c r="Y890" s="252"/>
    </row>
    <row r="891" ht="15.75" customHeight="1">
      <c r="Y891" s="252"/>
    </row>
    <row r="892" ht="15.75" customHeight="1">
      <c r="Y892" s="252"/>
    </row>
    <row r="893" ht="15.75" customHeight="1">
      <c r="Y893" s="252"/>
    </row>
    <row r="894" ht="15.75" customHeight="1">
      <c r="Y894" s="252"/>
    </row>
    <row r="895" ht="15.75" customHeight="1">
      <c r="Y895" s="252"/>
    </row>
    <row r="896" ht="15.75" customHeight="1">
      <c r="Y896" s="252"/>
    </row>
    <row r="897" ht="15.75" customHeight="1">
      <c r="Y897" s="252"/>
    </row>
    <row r="898" ht="15.75" customHeight="1">
      <c r="Y898" s="252"/>
    </row>
    <row r="899" ht="15.75" customHeight="1">
      <c r="Y899" s="252"/>
    </row>
    <row r="900" ht="15.75" customHeight="1">
      <c r="Y900" s="252"/>
    </row>
    <row r="901" ht="15.75" customHeight="1">
      <c r="Y901" s="252"/>
    </row>
    <row r="902" ht="15.75" customHeight="1">
      <c r="Y902" s="252"/>
    </row>
    <row r="903" ht="15.75" customHeight="1">
      <c r="Y903" s="252"/>
    </row>
    <row r="904" ht="15.75" customHeight="1">
      <c r="Y904" s="252"/>
    </row>
    <row r="905" ht="15.75" customHeight="1">
      <c r="Y905" s="252"/>
    </row>
    <row r="906" ht="15.75" customHeight="1">
      <c r="Y906" s="252"/>
    </row>
    <row r="907" ht="15.75" customHeight="1">
      <c r="Y907" s="252"/>
    </row>
    <row r="908" ht="15.75" customHeight="1">
      <c r="Y908" s="252"/>
    </row>
    <row r="909" ht="15.75" customHeight="1">
      <c r="Y909" s="252"/>
    </row>
    <row r="910" ht="15.75" customHeight="1">
      <c r="Y910" s="252"/>
    </row>
    <row r="911" ht="15.75" customHeight="1">
      <c r="Y911" s="252"/>
    </row>
    <row r="912" ht="15.75" customHeight="1">
      <c r="Y912" s="252"/>
    </row>
    <row r="913" ht="15.75" customHeight="1">
      <c r="Y913" s="252"/>
    </row>
    <row r="914" ht="15.75" customHeight="1">
      <c r="Y914" s="252"/>
    </row>
    <row r="915" ht="15.75" customHeight="1">
      <c r="Y915" s="252"/>
    </row>
    <row r="916" ht="15.75" customHeight="1">
      <c r="Y916" s="252"/>
    </row>
    <row r="917" ht="15.75" customHeight="1">
      <c r="Y917" s="252"/>
    </row>
    <row r="918" ht="15.75" customHeight="1">
      <c r="Y918" s="252"/>
    </row>
    <row r="919" ht="15.75" customHeight="1">
      <c r="Y919" s="252"/>
    </row>
    <row r="920" ht="15.75" customHeight="1">
      <c r="Y920" s="252"/>
    </row>
    <row r="921" ht="15.75" customHeight="1">
      <c r="Y921" s="252"/>
    </row>
    <row r="922" ht="15.75" customHeight="1">
      <c r="Y922" s="252"/>
    </row>
    <row r="923" ht="15.75" customHeight="1">
      <c r="Y923" s="252"/>
    </row>
    <row r="924" ht="15.75" customHeight="1">
      <c r="Y924" s="252"/>
    </row>
    <row r="925" ht="15.75" customHeight="1">
      <c r="Y925" s="252"/>
    </row>
    <row r="926" ht="15.75" customHeight="1">
      <c r="Y926" s="252"/>
    </row>
    <row r="927" ht="15.75" customHeight="1">
      <c r="Y927" s="252"/>
    </row>
    <row r="928" ht="15.75" customHeight="1">
      <c r="Y928" s="252"/>
    </row>
    <row r="929" ht="15.75" customHeight="1">
      <c r="Y929" s="252"/>
    </row>
    <row r="930" ht="15.75" customHeight="1">
      <c r="Y930" s="252"/>
    </row>
    <row r="931" ht="15.75" customHeight="1">
      <c r="Y931" s="252"/>
    </row>
    <row r="932" ht="15.75" customHeight="1">
      <c r="Y932" s="252"/>
    </row>
    <row r="933" ht="15.75" customHeight="1">
      <c r="Y933" s="252"/>
    </row>
    <row r="934" ht="15.75" customHeight="1">
      <c r="Y934" s="252"/>
    </row>
    <row r="935" ht="15.75" customHeight="1">
      <c r="Y935" s="252"/>
    </row>
    <row r="936" ht="15.75" customHeight="1">
      <c r="Y936" s="252"/>
    </row>
    <row r="937" ht="15.75" customHeight="1">
      <c r="Y937" s="252"/>
    </row>
    <row r="938" ht="15.75" customHeight="1">
      <c r="Y938" s="252"/>
    </row>
    <row r="939" ht="15.75" customHeight="1">
      <c r="Y939" s="252"/>
    </row>
    <row r="940" ht="15.75" customHeight="1">
      <c r="Y940" s="252"/>
    </row>
    <row r="941" ht="15.75" customHeight="1">
      <c r="Y941" s="252"/>
    </row>
    <row r="942" ht="15.75" customHeight="1">
      <c r="Y942" s="252"/>
    </row>
    <row r="943" ht="15.75" customHeight="1">
      <c r="Y943" s="252"/>
    </row>
    <row r="944" ht="15.75" customHeight="1">
      <c r="Y944" s="252"/>
    </row>
    <row r="945" ht="15.75" customHeight="1">
      <c r="Y945" s="252"/>
    </row>
    <row r="946" ht="15.75" customHeight="1">
      <c r="Y946" s="252"/>
    </row>
    <row r="947" ht="15.75" customHeight="1">
      <c r="Y947" s="252"/>
    </row>
    <row r="948" ht="15.75" customHeight="1">
      <c r="Y948" s="252"/>
    </row>
    <row r="949" ht="15.75" customHeight="1">
      <c r="Y949" s="252"/>
    </row>
    <row r="950" ht="15.75" customHeight="1">
      <c r="Y950" s="252"/>
    </row>
    <row r="951" ht="15.75" customHeight="1">
      <c r="Y951" s="252"/>
    </row>
    <row r="952" ht="15.75" customHeight="1">
      <c r="Y952" s="252"/>
    </row>
    <row r="953" ht="15.75" customHeight="1">
      <c r="Y953" s="252"/>
    </row>
    <row r="954" ht="15.75" customHeight="1">
      <c r="Y954" s="252"/>
    </row>
    <row r="955" ht="15.75" customHeight="1">
      <c r="Y955" s="252"/>
    </row>
    <row r="956" ht="15.75" customHeight="1">
      <c r="Y956" s="252"/>
    </row>
    <row r="957" ht="15.75" customHeight="1">
      <c r="Y957" s="252"/>
    </row>
    <row r="958" ht="15.75" customHeight="1">
      <c r="Y958" s="252"/>
    </row>
    <row r="959" ht="15.75" customHeight="1">
      <c r="Y959" s="252"/>
    </row>
    <row r="960" ht="15.75" customHeight="1">
      <c r="Y960" s="252"/>
    </row>
    <row r="961" ht="15.75" customHeight="1">
      <c r="Y961" s="252"/>
    </row>
    <row r="962" ht="15.75" customHeight="1">
      <c r="Y962" s="252"/>
    </row>
    <row r="963" ht="15.75" customHeight="1">
      <c r="Y963" s="252"/>
    </row>
    <row r="964" ht="15.75" customHeight="1">
      <c r="Y964" s="252"/>
    </row>
    <row r="965" ht="15.75" customHeight="1">
      <c r="Y965" s="252"/>
    </row>
    <row r="966" ht="15.75" customHeight="1">
      <c r="Y966" s="252"/>
    </row>
    <row r="967" ht="15.75" customHeight="1">
      <c r="Y967" s="252"/>
    </row>
    <row r="968" ht="15.75" customHeight="1">
      <c r="Y968" s="252"/>
    </row>
    <row r="969" ht="15.75" customHeight="1">
      <c r="Y969" s="252"/>
    </row>
    <row r="970" ht="15.75" customHeight="1">
      <c r="Y970" s="252"/>
    </row>
    <row r="971" ht="15.75" customHeight="1">
      <c r="Y971" s="252"/>
    </row>
    <row r="972" ht="15.75" customHeight="1">
      <c r="Y972" s="252"/>
    </row>
    <row r="973" ht="15.75" customHeight="1">
      <c r="Y973" s="252"/>
    </row>
    <row r="974" ht="15.75" customHeight="1">
      <c r="Y974" s="252"/>
    </row>
    <row r="975" ht="15.75" customHeight="1">
      <c r="Y975" s="252"/>
    </row>
    <row r="976" ht="15.75" customHeight="1">
      <c r="Y976" s="252"/>
    </row>
    <row r="977" ht="15.75" customHeight="1">
      <c r="Y977" s="252"/>
    </row>
    <row r="978" ht="15.75" customHeight="1">
      <c r="Y978" s="252"/>
    </row>
    <row r="979" ht="15.75" customHeight="1">
      <c r="Y979" s="252"/>
    </row>
    <row r="980" ht="15.75" customHeight="1">
      <c r="Y980" s="252"/>
    </row>
    <row r="981" ht="15.75" customHeight="1">
      <c r="Y981" s="252"/>
    </row>
    <row r="982" ht="15.75" customHeight="1">
      <c r="Y982" s="252"/>
    </row>
    <row r="983" ht="15.75" customHeight="1">
      <c r="Y983" s="252"/>
    </row>
    <row r="984" ht="15.75" customHeight="1">
      <c r="Y984" s="252"/>
    </row>
    <row r="985" ht="15.75" customHeight="1">
      <c r="Y985" s="252"/>
    </row>
    <row r="986" ht="15.75" customHeight="1">
      <c r="Y986" s="252"/>
    </row>
    <row r="987" ht="15.75" customHeight="1">
      <c r="Y987" s="252"/>
    </row>
    <row r="988" ht="15.75" customHeight="1">
      <c r="Y988" s="252"/>
    </row>
    <row r="989" ht="15.75" customHeight="1">
      <c r="Y989" s="252"/>
    </row>
    <row r="990" ht="15.75" customHeight="1">
      <c r="Y990" s="252"/>
    </row>
    <row r="991" ht="15.75" customHeight="1">
      <c r="Y991" s="252"/>
    </row>
    <row r="992" ht="15.75" customHeight="1">
      <c r="Y992" s="252"/>
    </row>
    <row r="993" ht="15.75" customHeight="1">
      <c r="Y993" s="252"/>
    </row>
    <row r="994" ht="15.75" customHeight="1">
      <c r="Y994" s="252"/>
    </row>
    <row r="995" ht="15.75" customHeight="1">
      <c r="Y995" s="252"/>
    </row>
    <row r="996" ht="15.75" customHeight="1">
      <c r="Y996" s="252"/>
    </row>
    <row r="997" ht="15.75" customHeight="1">
      <c r="Y997" s="252"/>
    </row>
    <row r="998" ht="15.75" customHeight="1">
      <c r="Y998" s="252"/>
    </row>
  </sheetData>
  <mergeCells count="2">
    <mergeCell ref="B159:B161"/>
    <mergeCell ref="B164:B165"/>
  </mergeCells>
  <conditionalFormatting sqref="X1:X998">
    <cfRule type="cellIs" dxfId="0" priority="1" operator="equal">
      <formula>"Salvador"</formula>
    </cfRule>
  </conditionalFormatting>
  <conditionalFormatting sqref="Y1:Y998">
    <cfRule type="cellIs" dxfId="0" priority="2" operator="equal">
      <formula>"Bahia"</formula>
    </cfRule>
  </conditionalFormatting>
  <conditionalFormatting sqref="B2:B998">
    <cfRule type="notContainsBlanks" dxfId="0" priority="3">
      <formula>LEN(TRIM(B2))&gt;0</formula>
    </cfRule>
  </conditionalFormatting>
  <hyperlinks>
    <hyperlink r:id="rId1" ref="AD2"/>
    <hyperlink r:id="rId2" ref="AD3"/>
    <hyperlink r:id="rId3" ref="AD4"/>
    <hyperlink r:id="rId4" ref="AD5"/>
    <hyperlink r:id="rId5" ref="AD6"/>
    <hyperlink r:id="rId6" ref="AD7"/>
    <hyperlink r:id="rId7" ref="AD8"/>
    <hyperlink r:id="rId8" ref="AD9"/>
    <hyperlink r:id="rId9" ref="AD10"/>
    <hyperlink r:id="rId10" ref="AD15"/>
    <hyperlink r:id="rId11" ref="AD18"/>
    <hyperlink r:id="rId12" ref="AD20"/>
    <hyperlink r:id="rId13" ref="AD21"/>
    <hyperlink r:id="rId14" ref="AD23"/>
    <hyperlink r:id="rId15" ref="AD24"/>
    <hyperlink r:id="rId16" ref="AD26"/>
    <hyperlink r:id="rId17" ref="AD28"/>
    <hyperlink r:id="rId18" ref="AD29"/>
    <hyperlink r:id="rId19" ref="AD30"/>
    <hyperlink r:id="rId20" ref="AD31"/>
    <hyperlink r:id="rId21" ref="AD32"/>
    <hyperlink r:id="rId22" ref="AD33"/>
    <hyperlink r:id="rId23" ref="AD34"/>
    <hyperlink r:id="rId24" ref="AD35"/>
    <hyperlink r:id="rId25" ref="AD36"/>
    <hyperlink r:id="rId26" ref="AD37"/>
    <hyperlink r:id="rId27" ref="AD38"/>
    <hyperlink r:id="rId28" ref="AD39"/>
    <hyperlink r:id="rId29" ref="AD40"/>
    <hyperlink r:id="rId30" ref="AD41"/>
    <hyperlink r:id="rId31" ref="AD42"/>
    <hyperlink r:id="rId32" ref="AD44"/>
    <hyperlink r:id="rId33" ref="AD47"/>
    <hyperlink r:id="rId34" ref="AD49"/>
    <hyperlink r:id="rId35" ref="AD50"/>
    <hyperlink r:id="rId36" ref="AD51"/>
    <hyperlink r:id="rId37" ref="AD52"/>
    <hyperlink r:id="rId38" ref="AD53"/>
    <hyperlink r:id="rId39" ref="AD54"/>
    <hyperlink r:id="rId40" ref="AD56"/>
    <hyperlink r:id="rId41" ref="AD57"/>
    <hyperlink r:id="rId42" ref="AD58"/>
    <hyperlink r:id="rId43" ref="AD59"/>
    <hyperlink r:id="rId44" ref="AD60"/>
    <hyperlink r:id="rId45" ref="AD61"/>
    <hyperlink r:id="rId46" ref="AD62"/>
    <hyperlink r:id="rId47" ref="AD64"/>
    <hyperlink r:id="rId48" ref="AD65"/>
    <hyperlink r:id="rId49" ref="AD66"/>
    <hyperlink r:id="rId50" ref="AD68"/>
    <hyperlink r:id="rId51" ref="AD69"/>
    <hyperlink r:id="rId52" ref="AD70"/>
    <hyperlink r:id="rId53" ref="AD72"/>
    <hyperlink r:id="rId54" ref="AD73"/>
    <hyperlink r:id="rId55" ref="AD74"/>
    <hyperlink r:id="rId56" ref="AD75"/>
    <hyperlink r:id="rId57" ref="AD76"/>
    <hyperlink r:id="rId58" ref="AD77"/>
    <hyperlink r:id="rId59" ref="AD80"/>
    <hyperlink r:id="rId60" ref="AD81"/>
    <hyperlink r:id="rId61" ref="AD83"/>
    <hyperlink r:id="rId62" ref="AD85"/>
    <hyperlink r:id="rId63" ref="AD88"/>
    <hyperlink r:id="rId64" ref="AD89"/>
    <hyperlink r:id="rId65" ref="AD90"/>
    <hyperlink r:id="rId66" ref="AD91"/>
    <hyperlink r:id="rId67" ref="AD92"/>
    <hyperlink r:id="rId68" ref="AD97"/>
    <hyperlink r:id="rId69" ref="AD99"/>
    <hyperlink r:id="rId70" ref="AD100"/>
    <hyperlink r:id="rId71" ref="AD101"/>
    <hyperlink r:id="rId72" ref="AD102"/>
    <hyperlink r:id="rId73" ref="AD103"/>
    <hyperlink r:id="rId74" ref="AD105"/>
    <hyperlink r:id="rId75" ref="AD106"/>
    <hyperlink r:id="rId76" ref="AD107"/>
    <hyperlink r:id="rId77" ref="AD110"/>
    <hyperlink r:id="rId78" ref="AD112"/>
    <hyperlink r:id="rId79" ref="AD114"/>
    <hyperlink r:id="rId80" ref="AD115"/>
    <hyperlink r:id="rId81" ref="AD116"/>
    <hyperlink r:id="rId82" ref="AD121"/>
    <hyperlink r:id="rId83" ref="AD122"/>
    <hyperlink r:id="rId84" ref="AD123"/>
    <hyperlink r:id="rId85" ref="AD124"/>
    <hyperlink r:id="rId86" ref="AD125"/>
    <hyperlink r:id="rId87" ref="AD126"/>
    <hyperlink r:id="rId88" ref="AD127"/>
    <hyperlink r:id="rId89" ref="AD128"/>
    <hyperlink r:id="rId90" ref="AD129"/>
    <hyperlink r:id="rId91" ref="AD130"/>
    <hyperlink r:id="rId92" ref="AD131"/>
    <hyperlink r:id="rId93" ref="AD132"/>
    <hyperlink r:id="rId94" ref="AD133"/>
    <hyperlink r:id="rId95" ref="AD136"/>
    <hyperlink r:id="rId96" ref="AD137"/>
    <hyperlink r:id="rId97" ref="AD139"/>
    <hyperlink r:id="rId98" ref="AD140"/>
    <hyperlink r:id="rId99" ref="AD142"/>
    <hyperlink r:id="rId100" ref="AD143"/>
    <hyperlink r:id="rId101" ref="AD144"/>
    <hyperlink r:id="rId102" ref="AD146"/>
    <hyperlink r:id="rId103" ref="AD147"/>
    <hyperlink r:id="rId104" ref="AD149"/>
    <hyperlink r:id="rId105" ref="AD150"/>
    <hyperlink r:id="rId106" ref="AD151"/>
    <hyperlink r:id="rId107" ref="AD152"/>
    <hyperlink r:id="rId108" ref="AD153"/>
    <hyperlink r:id="rId109" ref="AD154"/>
    <hyperlink r:id="rId110" ref="AD156"/>
    <hyperlink r:id="rId111" ref="AD158"/>
    <hyperlink r:id="rId112" ref="AD159"/>
    <hyperlink r:id="rId113" ref="AD160"/>
    <hyperlink r:id="rId114" ref="AD161"/>
    <hyperlink r:id="rId115" ref="AD164"/>
    <hyperlink r:id="rId116" ref="AD168"/>
    <hyperlink r:id="rId117" ref="AD169"/>
    <hyperlink r:id="rId118" ref="AD170"/>
    <hyperlink r:id="rId119" ref="AD171"/>
    <hyperlink r:id="rId120" ref="AD174"/>
  </hyperlinks>
  <printOptions/>
  <pageMargins bottom="0.787401575" footer="0.0" header="0.0" left="0.511811024" right="0.511811024" top="0.787401575"/>
  <pageSetup orientation="landscape"/>
  <drawing r:id="rId1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